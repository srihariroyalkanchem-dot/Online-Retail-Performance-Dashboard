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Desktop\"/>
    </mc:Choice>
  </mc:AlternateContent>
  <xr:revisionPtr revIDLastSave="0" documentId="8_{B6CDAC46-4DA1-4231-B568-110145F03D3D}" xr6:coauthVersionLast="36" xr6:coauthVersionMax="36" xr10:uidLastSave="{00000000-0000-0000-0000-000000000000}"/>
  <bookViews>
    <workbookView xWindow="0" yWindow="0" windowWidth="15345" windowHeight="3555" activeTab="2" xr2:uid="{346724B3-1C49-40AE-AA36-C77CF5D6DD09}"/>
  </bookViews>
  <sheets>
    <sheet name="Data" sheetId="1" r:id="rId1"/>
    <sheet name="Dashboard" sheetId="7" r:id="rId2"/>
    <sheet name="pivot tables" sheetId="5" r:id="rId3"/>
  </sheets>
  <definedNames>
    <definedName name="_xlcn.WorksheetConnection_ecommerceblank.xlsxorders1" hidden="1">orders[]</definedName>
    <definedName name="Slicer_County">#N/A</definedName>
    <definedName name="Slicer_Customer_Gender">#N/A</definedName>
    <definedName name="Slicer_Gender_Value">#N/A</definedName>
    <definedName name="Slicer_Order_Date">#N/A</definedName>
    <definedName name="Slicer_Order_Mode">#N/A</definedName>
    <definedName name="Slicer_Product">#N/A</definedName>
    <definedName name="Slicer_Product1">#N/A</definedName>
    <definedName name="Slicer_Rating_C">#N/A</definedName>
    <definedName name="Slicer_Ship_Date">#N/A</definedName>
    <definedName name="Slicer_State">#N/A</definedName>
  </definedNames>
  <calcPr calcId="191029"/>
  <pivotCaches>
    <pivotCache cacheId="8" r:id="rId4"/>
    <pivotCache cacheId="9" r:id="rId5"/>
    <pivotCache cacheId="1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ecommerce-blank.xlsx!orders"/>
        </x15:modelTables>
      </x15:dataModel>
    </ext>
  </extLst>
</workbook>
</file>

<file path=xl/calcChain.xml><?xml version="1.0" encoding="utf-8"?>
<calcChain xmlns="http://schemas.openxmlformats.org/spreadsheetml/2006/main">
  <c r="O2401" i="1" l="1" a="1"/>
  <c r="O2401" i="1" s="1"/>
  <c r="O2400" i="1" a="1"/>
  <c r="O2400" i="1" s="1"/>
  <c r="O2399" i="1" a="1"/>
  <c r="O2399" i="1" s="1"/>
  <c r="O2398" i="1" a="1"/>
  <c r="O2398" i="1" s="1"/>
  <c r="O2397" i="1" a="1"/>
  <c r="O2397" i="1" s="1"/>
  <c r="O2396" i="1" a="1"/>
  <c r="O2396" i="1" s="1"/>
  <c r="O2395" i="1" a="1"/>
  <c r="O2395" i="1" s="1"/>
  <c r="O2394" i="1" a="1"/>
  <c r="O2394" i="1" s="1"/>
  <c r="O2393" i="1" a="1"/>
  <c r="O2393" i="1" s="1"/>
  <c r="O2392" i="1" a="1"/>
  <c r="O2392" i="1" s="1"/>
  <c r="O2391" i="1" a="1"/>
  <c r="O2391" i="1" s="1"/>
  <c r="O2390" i="1" a="1"/>
  <c r="O2390" i="1" s="1"/>
  <c r="O2389" i="1" a="1"/>
  <c r="O2389" i="1" s="1"/>
  <c r="O2388" i="1" a="1"/>
  <c r="O2388" i="1" s="1"/>
  <c r="O2387" i="1" a="1"/>
  <c r="O2387" i="1" s="1"/>
  <c r="O2386" i="1" a="1"/>
  <c r="O2386" i="1" s="1"/>
  <c r="O2385" i="1" a="1"/>
  <c r="O2385" i="1" s="1"/>
  <c r="O2384" i="1" a="1"/>
  <c r="O2384" i="1" s="1"/>
  <c r="O2383" i="1" a="1"/>
  <c r="O2383" i="1" s="1"/>
  <c r="O2382" i="1" a="1"/>
  <c r="O2382" i="1" s="1"/>
  <c r="O2381" i="1" a="1"/>
  <c r="O2381" i="1" s="1"/>
  <c r="O2380" i="1" a="1"/>
  <c r="O2380" i="1" s="1"/>
  <c r="O2379" i="1" a="1"/>
  <c r="O2379" i="1" s="1"/>
  <c r="O2378" i="1" a="1"/>
  <c r="O2378" i="1" s="1"/>
  <c r="O2377" i="1" a="1"/>
  <c r="O2377" i="1" s="1"/>
  <c r="O2376" i="1" a="1"/>
  <c r="O2376" i="1" s="1"/>
  <c r="O2375" i="1" a="1"/>
  <c r="O2375" i="1" s="1"/>
  <c r="O2374" i="1" a="1"/>
  <c r="O2374" i="1" s="1"/>
  <c r="O2373" i="1" a="1"/>
  <c r="O2373" i="1" s="1"/>
  <c r="O2372" i="1" a="1"/>
  <c r="O2372" i="1" s="1"/>
  <c r="O2371" i="1" a="1"/>
  <c r="O2371" i="1" s="1"/>
  <c r="O2370" i="1" a="1"/>
  <c r="O2370" i="1" s="1"/>
  <c r="O2369" i="1" a="1"/>
  <c r="O2369" i="1" s="1"/>
  <c r="O2368" i="1" a="1"/>
  <c r="O2368" i="1" s="1"/>
  <c r="O2367" i="1" a="1"/>
  <c r="O2367" i="1" s="1"/>
  <c r="O2366" i="1" a="1"/>
  <c r="O2366" i="1" s="1"/>
  <c r="O2365" i="1" a="1"/>
  <c r="O2365" i="1" s="1"/>
  <c r="O2364" i="1" a="1"/>
  <c r="O2364" i="1" s="1"/>
  <c r="O2363" i="1" a="1"/>
  <c r="O2363" i="1" s="1"/>
  <c r="O2362" i="1" a="1"/>
  <c r="O2362" i="1" s="1"/>
  <c r="O2361" i="1" a="1"/>
  <c r="O2361" i="1" s="1"/>
  <c r="O2360" i="1" a="1"/>
  <c r="O2360" i="1" s="1"/>
  <c r="O2359" i="1" a="1"/>
  <c r="O2359" i="1" s="1"/>
  <c r="O2358" i="1" a="1"/>
  <c r="O2358" i="1" s="1"/>
  <c r="O2357" i="1" a="1"/>
  <c r="O2357" i="1" s="1"/>
  <c r="O2356" i="1" a="1"/>
  <c r="O2356" i="1" s="1"/>
  <c r="O2355" i="1" a="1"/>
  <c r="O2355" i="1" s="1"/>
  <c r="O2354" i="1" a="1"/>
  <c r="O2354" i="1" s="1"/>
  <c r="O2353" i="1" a="1"/>
  <c r="O2353" i="1" s="1"/>
  <c r="O2352" i="1" a="1"/>
  <c r="O2352" i="1" s="1"/>
  <c r="O2351" i="1" a="1"/>
  <c r="O2351" i="1" s="1"/>
  <c r="O2350" i="1" a="1"/>
  <c r="O2350" i="1" s="1"/>
  <c r="O2349" i="1" a="1"/>
  <c r="O2349" i="1" s="1"/>
  <c r="O2348" i="1" a="1"/>
  <c r="O2348" i="1" s="1"/>
  <c r="O2347" i="1" a="1"/>
  <c r="O2347" i="1" s="1"/>
  <c r="O2346" i="1" a="1"/>
  <c r="O2346" i="1" s="1"/>
  <c r="O2345" i="1" a="1"/>
  <c r="O2345" i="1" s="1"/>
  <c r="O2344" i="1" a="1"/>
  <c r="O2344" i="1" s="1"/>
  <c r="O2343" i="1" a="1"/>
  <c r="O2343" i="1" s="1"/>
  <c r="O2342" i="1" a="1"/>
  <c r="O2342" i="1" s="1"/>
  <c r="O2341" i="1" a="1"/>
  <c r="O2341" i="1" s="1"/>
  <c r="O2340" i="1" a="1"/>
  <c r="O2340" i="1" s="1"/>
  <c r="O2339" i="1" a="1"/>
  <c r="O2339" i="1" s="1"/>
  <c r="O2338" i="1" a="1"/>
  <c r="O2338" i="1" s="1"/>
  <c r="O2337" i="1" a="1"/>
  <c r="O2337" i="1" s="1"/>
  <c r="O2336" i="1" a="1"/>
  <c r="O2336" i="1" s="1"/>
  <c r="O2335" i="1" a="1"/>
  <c r="O2335" i="1" s="1"/>
  <c r="O2334" i="1" a="1"/>
  <c r="O2334" i="1" s="1"/>
  <c r="O2333" i="1" a="1"/>
  <c r="O2333" i="1" s="1"/>
  <c r="O2332" i="1" a="1"/>
  <c r="O2332" i="1" s="1"/>
  <c r="O2331" i="1" a="1"/>
  <c r="O2331" i="1" s="1"/>
  <c r="O2330" i="1" a="1"/>
  <c r="O2330" i="1" s="1"/>
  <c r="O2329" i="1" a="1"/>
  <c r="O2329" i="1" s="1"/>
  <c r="O2328" i="1" a="1"/>
  <c r="O2328" i="1" s="1"/>
  <c r="O2327" i="1" a="1"/>
  <c r="O2327" i="1" s="1"/>
  <c r="O2326" i="1" a="1"/>
  <c r="O2326" i="1" s="1"/>
  <c r="O2325" i="1" a="1"/>
  <c r="O2325" i="1" s="1"/>
  <c r="O2324" i="1" a="1"/>
  <c r="O2324" i="1" s="1"/>
  <c r="O2323" i="1" a="1"/>
  <c r="O2323" i="1" s="1"/>
  <c r="O2322" i="1" a="1"/>
  <c r="O2322" i="1" s="1"/>
  <c r="O2321" i="1" a="1"/>
  <c r="O2321" i="1" s="1"/>
  <c r="O2320" i="1" a="1"/>
  <c r="O2320" i="1" s="1"/>
  <c r="O2319" i="1" a="1"/>
  <c r="O2319" i="1" s="1"/>
  <c r="O2318" i="1" a="1"/>
  <c r="O2318" i="1" s="1"/>
  <c r="O2317" i="1" a="1"/>
  <c r="O2317" i="1" s="1"/>
  <c r="O2316" i="1" a="1"/>
  <c r="O2316" i="1" s="1"/>
  <c r="O2315" i="1" a="1"/>
  <c r="O2315" i="1" s="1"/>
  <c r="O2314" i="1" a="1"/>
  <c r="O2314" i="1" s="1"/>
  <c r="O2313" i="1" a="1"/>
  <c r="O2313" i="1" s="1"/>
  <c r="O2312" i="1" a="1"/>
  <c r="O2312" i="1" s="1"/>
  <c r="O2311" i="1" a="1"/>
  <c r="O2311" i="1" s="1"/>
  <c r="O2310" i="1" a="1"/>
  <c r="O2310" i="1" s="1"/>
  <c r="O2309" i="1" a="1"/>
  <c r="O2309" i="1" s="1"/>
  <c r="O2308" i="1" a="1"/>
  <c r="O2308" i="1" s="1"/>
  <c r="O2307" i="1" a="1"/>
  <c r="O2307" i="1" s="1"/>
  <c r="O2306" i="1" a="1"/>
  <c r="O2306" i="1" s="1"/>
  <c r="O2305" i="1" a="1"/>
  <c r="O2305" i="1" s="1"/>
  <c r="O2304" i="1" a="1"/>
  <c r="O2304" i="1" s="1"/>
  <c r="O2303" i="1" a="1"/>
  <c r="O2303" i="1" s="1"/>
  <c r="O2302" i="1" a="1"/>
  <c r="O2302" i="1" s="1"/>
  <c r="O2301" i="1" a="1"/>
  <c r="O2301" i="1" s="1"/>
  <c r="O2300" i="1" a="1"/>
  <c r="O2300" i="1" s="1"/>
  <c r="O2299" i="1" a="1"/>
  <c r="O2299" i="1" s="1"/>
  <c r="O2298" i="1" a="1"/>
  <c r="O2298" i="1" s="1"/>
  <c r="O2297" i="1" a="1"/>
  <c r="O2297" i="1" s="1"/>
  <c r="O2296" i="1" a="1"/>
  <c r="O2296" i="1" s="1"/>
  <c r="O2295" i="1" a="1"/>
  <c r="O2295" i="1" s="1"/>
  <c r="O2294" i="1" a="1"/>
  <c r="O2294" i="1" s="1"/>
  <c r="O2293" i="1" a="1"/>
  <c r="O2293" i="1" s="1"/>
  <c r="O2292" i="1" a="1"/>
  <c r="O2292" i="1" s="1"/>
  <c r="O2291" i="1" a="1"/>
  <c r="O2291" i="1" s="1"/>
  <c r="O2290" i="1" a="1"/>
  <c r="O2290" i="1" s="1"/>
  <c r="O2289" i="1" a="1"/>
  <c r="O2289" i="1" s="1"/>
  <c r="O2288" i="1" a="1"/>
  <c r="O2288" i="1" s="1"/>
  <c r="O2287" i="1" a="1"/>
  <c r="O2287" i="1" s="1"/>
  <c r="O2286" i="1" a="1"/>
  <c r="O2286" i="1" s="1"/>
  <c r="O2285" i="1" a="1"/>
  <c r="O2285" i="1" s="1"/>
  <c r="O2284" i="1" a="1"/>
  <c r="O2284" i="1" s="1"/>
  <c r="O2283" i="1" a="1"/>
  <c r="O2283" i="1" s="1"/>
  <c r="O2282" i="1" a="1"/>
  <c r="O2282" i="1" s="1"/>
  <c r="O2281" i="1" a="1"/>
  <c r="O2281" i="1" s="1"/>
  <c r="O2280" i="1" a="1"/>
  <c r="O2280" i="1" s="1"/>
  <c r="O2279" i="1" a="1"/>
  <c r="O2279" i="1" s="1"/>
  <c r="O2278" i="1" a="1"/>
  <c r="O2278" i="1" s="1"/>
  <c r="O2277" i="1" a="1"/>
  <c r="O2277" i="1" s="1"/>
  <c r="O2276" i="1" a="1"/>
  <c r="O2276" i="1" s="1"/>
  <c r="O2275" i="1" a="1"/>
  <c r="O2275" i="1" s="1"/>
  <c r="O2274" i="1" a="1"/>
  <c r="O2274" i="1" s="1"/>
  <c r="O2273" i="1" a="1"/>
  <c r="O2273" i="1" s="1"/>
  <c r="O2272" i="1" a="1"/>
  <c r="O2272" i="1" s="1"/>
  <c r="O2271" i="1" a="1"/>
  <c r="O2271" i="1" s="1"/>
  <c r="O2270" i="1" a="1"/>
  <c r="O2270" i="1" s="1"/>
  <c r="O2269" i="1" a="1"/>
  <c r="O2269" i="1" s="1"/>
  <c r="O2268" i="1" a="1"/>
  <c r="O2268" i="1" s="1"/>
  <c r="O2267" i="1" a="1"/>
  <c r="O2267" i="1" s="1"/>
  <c r="O2266" i="1" a="1"/>
  <c r="O2266" i="1" s="1"/>
  <c r="O2265" i="1" a="1"/>
  <c r="O2265" i="1" s="1"/>
  <c r="O2264" i="1" a="1"/>
  <c r="O2264" i="1" s="1"/>
  <c r="O2263" i="1" a="1"/>
  <c r="O2263" i="1" s="1"/>
  <c r="O2262" i="1" a="1"/>
  <c r="O2262" i="1" s="1"/>
  <c r="O2261" i="1" a="1"/>
  <c r="O2261" i="1" s="1"/>
  <c r="O2260" i="1" a="1"/>
  <c r="O2260" i="1" s="1"/>
  <c r="O2259" i="1" a="1"/>
  <c r="O2259" i="1" s="1"/>
  <c r="O2258" i="1" a="1"/>
  <c r="O2258" i="1" s="1"/>
  <c r="O2257" i="1" a="1"/>
  <c r="O2257" i="1" s="1"/>
  <c r="O2256" i="1" a="1"/>
  <c r="O2256" i="1" s="1"/>
  <c r="O2255" i="1" a="1"/>
  <c r="O2255" i="1" s="1"/>
  <c r="O2254" i="1" a="1"/>
  <c r="O2254" i="1" s="1"/>
  <c r="O2253" i="1" a="1"/>
  <c r="O2253" i="1" s="1"/>
  <c r="O2252" i="1" a="1"/>
  <c r="O2252" i="1" s="1"/>
  <c r="O2251" i="1" a="1"/>
  <c r="O2251" i="1" s="1"/>
  <c r="O2250" i="1" a="1"/>
  <c r="O2250" i="1" s="1"/>
  <c r="O2249" i="1" a="1"/>
  <c r="O2249" i="1" s="1"/>
  <c r="O2248" i="1" a="1"/>
  <c r="O2248" i="1" s="1"/>
  <c r="O2247" i="1" a="1"/>
  <c r="O2247" i="1" s="1"/>
  <c r="O2246" i="1" a="1"/>
  <c r="O2246" i="1" s="1"/>
  <c r="O2245" i="1" a="1"/>
  <c r="O2245" i="1" s="1"/>
  <c r="O2244" i="1" a="1"/>
  <c r="O2244" i="1" s="1"/>
  <c r="O2243" i="1" a="1"/>
  <c r="O2243" i="1" s="1"/>
  <c r="O2242" i="1" a="1"/>
  <c r="O2242" i="1" s="1"/>
  <c r="O2241" i="1" a="1"/>
  <c r="O2241" i="1" s="1"/>
  <c r="O2240" i="1" a="1"/>
  <c r="O2240" i="1" s="1"/>
  <c r="O2239" i="1" a="1"/>
  <c r="O2239" i="1" s="1"/>
  <c r="O2238" i="1" a="1"/>
  <c r="O2238" i="1" s="1"/>
  <c r="O2237" i="1" a="1"/>
  <c r="O2237" i="1" s="1"/>
  <c r="O2236" i="1" a="1"/>
  <c r="O2236" i="1" s="1"/>
  <c r="O2235" i="1" a="1"/>
  <c r="O2235" i="1" s="1"/>
  <c r="O2234" i="1" a="1"/>
  <c r="O2234" i="1" s="1"/>
  <c r="O2233" i="1" a="1"/>
  <c r="O2233" i="1" s="1"/>
  <c r="O2232" i="1" a="1"/>
  <c r="O2232" i="1" s="1"/>
  <c r="O2231" i="1" a="1"/>
  <c r="O2231" i="1" s="1"/>
  <c r="O2230" i="1" a="1"/>
  <c r="O2230" i="1" s="1"/>
  <c r="O2229" i="1" a="1"/>
  <c r="O2229" i="1" s="1"/>
  <c r="O2228" i="1" a="1"/>
  <c r="O2228" i="1" s="1"/>
  <c r="O2227" i="1" a="1"/>
  <c r="O2227" i="1" s="1"/>
  <c r="O2226" i="1" a="1"/>
  <c r="O2226" i="1" s="1"/>
  <c r="O2225" i="1" a="1"/>
  <c r="O2225" i="1" s="1"/>
  <c r="O2224" i="1" a="1"/>
  <c r="O2224" i="1" s="1"/>
  <c r="O2223" i="1" a="1"/>
  <c r="O2223" i="1" s="1"/>
  <c r="O2222" i="1" a="1"/>
  <c r="O2222" i="1" s="1"/>
  <c r="O2221" i="1" a="1"/>
  <c r="O2221" i="1" s="1"/>
  <c r="O2220" i="1" a="1"/>
  <c r="O2220" i="1" s="1"/>
  <c r="O2219" i="1" a="1"/>
  <c r="O2219" i="1" s="1"/>
  <c r="O2218" i="1" a="1"/>
  <c r="O2218" i="1" s="1"/>
  <c r="O2217" i="1" a="1"/>
  <c r="O2217" i="1" s="1"/>
  <c r="O2216" i="1" a="1"/>
  <c r="O2216" i="1" s="1"/>
  <c r="O2215" i="1" a="1"/>
  <c r="O2215" i="1" s="1"/>
  <c r="O2214" i="1" a="1"/>
  <c r="O2214" i="1" s="1"/>
  <c r="O2213" i="1" a="1"/>
  <c r="O2213" i="1" s="1"/>
  <c r="O2212" i="1" a="1"/>
  <c r="O2212" i="1" s="1"/>
  <c r="O2211" i="1" a="1"/>
  <c r="O2211" i="1" s="1"/>
  <c r="O2210" i="1" a="1"/>
  <c r="O2210" i="1" s="1"/>
  <c r="O2209" i="1" a="1"/>
  <c r="O2209" i="1" s="1"/>
  <c r="O2208" i="1" a="1"/>
  <c r="O2208" i="1" s="1"/>
  <c r="O2207" i="1" a="1"/>
  <c r="O2207" i="1" s="1"/>
  <c r="O2206" i="1" a="1"/>
  <c r="O2206" i="1" s="1"/>
  <c r="O2205" i="1" a="1"/>
  <c r="O2205" i="1" s="1"/>
  <c r="O2204" i="1" a="1"/>
  <c r="O2204" i="1" s="1"/>
  <c r="O2203" i="1" a="1"/>
  <c r="O2203" i="1" s="1"/>
  <c r="O2202" i="1" a="1"/>
  <c r="O2202" i="1" s="1"/>
  <c r="O2201" i="1" a="1"/>
  <c r="O2201" i="1" s="1"/>
  <c r="O2200" i="1" a="1"/>
  <c r="O2200" i="1" s="1"/>
  <c r="O2199" i="1" a="1"/>
  <c r="O2199" i="1" s="1"/>
  <c r="O2198" i="1" a="1"/>
  <c r="O2198" i="1" s="1"/>
  <c r="O2197" i="1" a="1"/>
  <c r="O2197" i="1" s="1"/>
  <c r="O2196" i="1" a="1"/>
  <c r="O2196" i="1" s="1"/>
  <c r="O2195" i="1" a="1"/>
  <c r="O2195" i="1" s="1"/>
  <c r="O2194" i="1" a="1"/>
  <c r="O2194" i="1" s="1"/>
  <c r="O2193" i="1" a="1"/>
  <c r="O2193" i="1" s="1"/>
  <c r="O2192" i="1" a="1"/>
  <c r="O2192" i="1" s="1"/>
  <c r="O2191" i="1" a="1"/>
  <c r="O2191" i="1" s="1"/>
  <c r="O2190" i="1" a="1"/>
  <c r="O2190" i="1" s="1"/>
  <c r="O2189" i="1" a="1"/>
  <c r="O2189" i="1" s="1"/>
  <c r="O2188" i="1" a="1"/>
  <c r="O2188" i="1" s="1"/>
  <c r="O2187" i="1" a="1"/>
  <c r="O2187" i="1" s="1"/>
  <c r="O2186" i="1" a="1"/>
  <c r="O2186" i="1" s="1"/>
  <c r="O2185" i="1" a="1"/>
  <c r="O2185" i="1" s="1"/>
  <c r="O2184" i="1" a="1"/>
  <c r="O2184" i="1" s="1"/>
  <c r="O2183" i="1" a="1"/>
  <c r="O2183" i="1" s="1"/>
  <c r="O2182" i="1" a="1"/>
  <c r="O2182" i="1" s="1"/>
  <c r="O2181" i="1" a="1"/>
  <c r="O2181" i="1" s="1"/>
  <c r="O2180" i="1" a="1"/>
  <c r="O2180" i="1" s="1"/>
  <c r="O2179" i="1" a="1"/>
  <c r="O2179" i="1" s="1"/>
  <c r="O2178" i="1" a="1"/>
  <c r="O2178" i="1" s="1"/>
  <c r="O2177" i="1" a="1"/>
  <c r="O2177" i="1" s="1"/>
  <c r="O2176" i="1" a="1"/>
  <c r="O2176" i="1" s="1"/>
  <c r="O2175" i="1" a="1"/>
  <c r="O2175" i="1" s="1"/>
  <c r="O2174" i="1" a="1"/>
  <c r="O2174" i="1" s="1"/>
  <c r="O2173" i="1" a="1"/>
  <c r="O2173" i="1" s="1"/>
  <c r="O2172" i="1" a="1"/>
  <c r="O2172" i="1" s="1"/>
  <c r="O2171" i="1" a="1"/>
  <c r="O2171" i="1" s="1"/>
  <c r="O2170" i="1" a="1"/>
  <c r="O2170" i="1" s="1"/>
  <c r="O2169" i="1" a="1"/>
  <c r="O2169" i="1" s="1"/>
  <c r="O2168" i="1" a="1"/>
  <c r="O2168" i="1" s="1"/>
  <c r="O2167" i="1" a="1"/>
  <c r="O2167" i="1" s="1"/>
  <c r="O2166" i="1" a="1"/>
  <c r="O2166" i="1" s="1"/>
  <c r="O2165" i="1" a="1"/>
  <c r="O2165" i="1" s="1"/>
  <c r="O2164" i="1" a="1"/>
  <c r="O2164" i="1" s="1"/>
  <c r="O2163" i="1" a="1"/>
  <c r="O2163" i="1" s="1"/>
  <c r="O2162" i="1" a="1"/>
  <c r="O2162" i="1" s="1"/>
  <c r="O2161" i="1" a="1"/>
  <c r="O2161" i="1" s="1"/>
  <c r="O2160" i="1" a="1"/>
  <c r="O2160" i="1" s="1"/>
  <c r="O2159" i="1" a="1"/>
  <c r="O2159" i="1" s="1"/>
  <c r="O2158" i="1" a="1"/>
  <c r="O2158" i="1" s="1"/>
  <c r="O2157" i="1" a="1"/>
  <c r="O2157" i="1" s="1"/>
  <c r="O2156" i="1" a="1"/>
  <c r="O2156" i="1" s="1"/>
  <c r="O2155" i="1" a="1"/>
  <c r="O2155" i="1" s="1"/>
  <c r="O2154" i="1" a="1"/>
  <c r="O2154" i="1" s="1"/>
  <c r="O2153" i="1" a="1"/>
  <c r="O2153" i="1" s="1"/>
  <c r="O2152" i="1" a="1"/>
  <c r="O2152" i="1" s="1"/>
  <c r="O2151" i="1" a="1"/>
  <c r="O2151" i="1" s="1"/>
  <c r="O2150" i="1" a="1"/>
  <c r="O2150" i="1" s="1"/>
  <c r="O2149" i="1" a="1"/>
  <c r="O2149" i="1" s="1"/>
  <c r="O2148" i="1" a="1"/>
  <c r="O2148" i="1" s="1"/>
  <c r="O2147" i="1" a="1"/>
  <c r="O2147" i="1" s="1"/>
  <c r="O2146" i="1" a="1"/>
  <c r="O2146" i="1" s="1"/>
  <c r="O2145" i="1" a="1"/>
  <c r="O2145" i="1" s="1"/>
  <c r="O2144" i="1" a="1"/>
  <c r="O2144" i="1" s="1"/>
  <c r="O2143" i="1" a="1"/>
  <c r="O2143" i="1" s="1"/>
  <c r="O2142" i="1" a="1"/>
  <c r="O2142" i="1" s="1"/>
  <c r="O2141" i="1" a="1"/>
  <c r="O2141" i="1" s="1"/>
  <c r="O2140" i="1" a="1"/>
  <c r="O2140" i="1" s="1"/>
  <c r="O2139" i="1" a="1"/>
  <c r="O2139" i="1" s="1"/>
  <c r="O2138" i="1" a="1"/>
  <c r="O2138" i="1" s="1"/>
  <c r="O2137" i="1" a="1"/>
  <c r="O2137" i="1" s="1"/>
  <c r="O2136" i="1" a="1"/>
  <c r="O2136" i="1" s="1"/>
  <c r="O2135" i="1" a="1"/>
  <c r="O2135" i="1" s="1"/>
  <c r="O2134" i="1" a="1"/>
  <c r="O2134" i="1" s="1"/>
  <c r="O2133" i="1" a="1"/>
  <c r="O2133" i="1" s="1"/>
  <c r="O2132" i="1" a="1"/>
  <c r="O2132" i="1" s="1"/>
  <c r="O2131" i="1" a="1"/>
  <c r="O2131" i="1" s="1"/>
  <c r="O2130" i="1" a="1"/>
  <c r="O2130" i="1" s="1"/>
  <c r="O2129" i="1" a="1"/>
  <c r="O2129" i="1" s="1"/>
  <c r="O2128" i="1" a="1"/>
  <c r="O2128" i="1" s="1"/>
  <c r="O2127" i="1" a="1"/>
  <c r="O2127" i="1" s="1"/>
  <c r="O2126" i="1" a="1"/>
  <c r="O2126" i="1" s="1"/>
  <c r="O2125" i="1" a="1"/>
  <c r="O2125" i="1" s="1"/>
  <c r="O2124" i="1" a="1"/>
  <c r="O2124" i="1" s="1"/>
  <c r="O2123" i="1" a="1"/>
  <c r="O2123" i="1" s="1"/>
  <c r="O2122" i="1" a="1"/>
  <c r="O2122" i="1" s="1"/>
  <c r="O2121" i="1" a="1"/>
  <c r="O2121" i="1" s="1"/>
  <c r="O2120" i="1" a="1"/>
  <c r="O2120" i="1" s="1"/>
  <c r="O2119" i="1" a="1"/>
  <c r="O2119" i="1" s="1"/>
  <c r="O2118" i="1" a="1"/>
  <c r="O2118" i="1" s="1"/>
  <c r="O2117" i="1" a="1"/>
  <c r="O2117" i="1" s="1"/>
  <c r="O2116" i="1" a="1"/>
  <c r="O2116" i="1" s="1"/>
  <c r="O2115" i="1" a="1"/>
  <c r="O2115" i="1" s="1"/>
  <c r="O2114" i="1" a="1"/>
  <c r="O2114" i="1" s="1"/>
  <c r="O2113" i="1" a="1"/>
  <c r="O2113" i="1" s="1"/>
  <c r="O2112" i="1" a="1"/>
  <c r="O2112" i="1" s="1"/>
  <c r="O2111" i="1" a="1"/>
  <c r="O2111" i="1" s="1"/>
  <c r="O2110" i="1" a="1"/>
  <c r="O2110" i="1" s="1"/>
  <c r="O2109" i="1" a="1"/>
  <c r="O2109" i="1" s="1"/>
  <c r="O2108" i="1" a="1"/>
  <c r="O2108" i="1" s="1"/>
  <c r="O2107" i="1" a="1"/>
  <c r="O2107" i="1" s="1"/>
  <c r="O2106" i="1" a="1"/>
  <c r="O2106" i="1" s="1"/>
  <c r="O2105" i="1" a="1"/>
  <c r="O2105" i="1" s="1"/>
  <c r="O2104" i="1" a="1"/>
  <c r="O2104" i="1" s="1"/>
  <c r="O2103" i="1" a="1"/>
  <c r="O2103" i="1" s="1"/>
  <c r="O2102" i="1" a="1"/>
  <c r="O2102" i="1" s="1"/>
  <c r="O2101" i="1" a="1"/>
  <c r="O2101" i="1" s="1"/>
  <c r="O2100" i="1" a="1"/>
  <c r="O2100" i="1" s="1"/>
  <c r="O2099" i="1" a="1"/>
  <c r="O2099" i="1" s="1"/>
  <c r="O2098" i="1" a="1"/>
  <c r="O2098" i="1" s="1"/>
  <c r="O2097" i="1" a="1"/>
  <c r="O2097" i="1" s="1"/>
  <c r="O2096" i="1" a="1"/>
  <c r="O2096" i="1" s="1"/>
  <c r="O2095" i="1" a="1"/>
  <c r="O2095" i="1" s="1"/>
  <c r="O2094" i="1" a="1"/>
  <c r="O2094" i="1" s="1"/>
  <c r="O2093" i="1" a="1"/>
  <c r="O2093" i="1" s="1"/>
  <c r="O2092" i="1" a="1"/>
  <c r="O2092" i="1" s="1"/>
  <c r="O2091" i="1" a="1"/>
  <c r="O2091" i="1" s="1"/>
  <c r="O2090" i="1" a="1"/>
  <c r="O2090" i="1" s="1"/>
  <c r="O2089" i="1" a="1"/>
  <c r="O2089" i="1" s="1"/>
  <c r="O2088" i="1" a="1"/>
  <c r="O2088" i="1" s="1"/>
  <c r="O2087" i="1" a="1"/>
  <c r="O2087" i="1" s="1"/>
  <c r="O2086" i="1" a="1"/>
  <c r="O2086" i="1" s="1"/>
  <c r="O2085" i="1" a="1"/>
  <c r="O2085" i="1" s="1"/>
  <c r="O2084" i="1" a="1"/>
  <c r="O2084" i="1" s="1"/>
  <c r="O2083" i="1" a="1"/>
  <c r="O2083" i="1" s="1"/>
  <c r="O2082" i="1" a="1"/>
  <c r="O2082" i="1" s="1"/>
  <c r="O2081" i="1" a="1"/>
  <c r="O2081" i="1" s="1"/>
  <c r="O2080" i="1" a="1"/>
  <c r="O2080" i="1" s="1"/>
  <c r="O2079" i="1" a="1"/>
  <c r="O2079" i="1" s="1"/>
  <c r="O2078" i="1" a="1"/>
  <c r="O2078" i="1" s="1"/>
  <c r="O2077" i="1" a="1"/>
  <c r="O2077" i="1" s="1"/>
  <c r="O2076" i="1" a="1"/>
  <c r="O2076" i="1" s="1"/>
  <c r="O2075" i="1" a="1"/>
  <c r="O2075" i="1" s="1"/>
  <c r="O2074" i="1" a="1"/>
  <c r="O2074" i="1" s="1"/>
  <c r="O2073" i="1" a="1"/>
  <c r="O2073" i="1" s="1"/>
  <c r="O2072" i="1" a="1"/>
  <c r="O2072" i="1" s="1"/>
  <c r="O2071" i="1" a="1"/>
  <c r="O2071" i="1" s="1"/>
  <c r="O2070" i="1" a="1"/>
  <c r="O2070" i="1" s="1"/>
  <c r="O2069" i="1" a="1"/>
  <c r="O2069" i="1" s="1"/>
  <c r="O2068" i="1" a="1"/>
  <c r="O2068" i="1" s="1"/>
  <c r="O2067" i="1" a="1"/>
  <c r="O2067" i="1" s="1"/>
  <c r="O2066" i="1" a="1"/>
  <c r="O2066" i="1" s="1"/>
  <c r="O2065" i="1" a="1"/>
  <c r="O2065" i="1" s="1"/>
  <c r="O2064" i="1" a="1"/>
  <c r="O2064" i="1" s="1"/>
  <c r="O2063" i="1" a="1"/>
  <c r="O2063" i="1" s="1"/>
  <c r="O2062" i="1" a="1"/>
  <c r="O2062" i="1" s="1"/>
  <c r="O2061" i="1" a="1"/>
  <c r="O2061" i="1" s="1"/>
  <c r="O2060" i="1" a="1"/>
  <c r="O2060" i="1" s="1"/>
  <c r="O2059" i="1" a="1"/>
  <c r="O2059" i="1" s="1"/>
  <c r="O2058" i="1" a="1"/>
  <c r="O2058" i="1" s="1"/>
  <c r="O2057" i="1" a="1"/>
  <c r="O2057" i="1" s="1"/>
  <c r="O2056" i="1" a="1"/>
  <c r="O2056" i="1" s="1"/>
  <c r="O2055" i="1" a="1"/>
  <c r="O2055" i="1" s="1"/>
  <c r="O2054" i="1" a="1"/>
  <c r="O2054" i="1" s="1"/>
  <c r="O2053" i="1" a="1"/>
  <c r="O2053" i="1" s="1"/>
  <c r="O2052" i="1" a="1"/>
  <c r="O2052" i="1" s="1"/>
  <c r="O2051" i="1" a="1"/>
  <c r="O2051" i="1" s="1"/>
  <c r="O2050" i="1" a="1"/>
  <c r="O2050" i="1" s="1"/>
  <c r="O2049" i="1" a="1"/>
  <c r="O2049" i="1" s="1"/>
  <c r="O2048" i="1" a="1"/>
  <c r="O2048" i="1" s="1"/>
  <c r="O2047" i="1" a="1"/>
  <c r="O2047" i="1" s="1"/>
  <c r="O2046" i="1" a="1"/>
  <c r="O2046" i="1" s="1"/>
  <c r="O2045" i="1" a="1"/>
  <c r="O2045" i="1" s="1"/>
  <c r="O2044" i="1" a="1"/>
  <c r="O2044" i="1" s="1"/>
  <c r="O2043" i="1" a="1"/>
  <c r="O2043" i="1" s="1"/>
  <c r="O2042" i="1" a="1"/>
  <c r="O2042" i="1" s="1"/>
  <c r="O2041" i="1" a="1"/>
  <c r="O2041" i="1" s="1"/>
  <c r="O2040" i="1" a="1"/>
  <c r="O2040" i="1" s="1"/>
  <c r="O2039" i="1" a="1"/>
  <c r="O2039" i="1" s="1"/>
  <c r="O2038" i="1" a="1"/>
  <c r="O2038" i="1" s="1"/>
  <c r="O2037" i="1" a="1"/>
  <c r="O2037" i="1" s="1"/>
  <c r="O2036" i="1" a="1"/>
  <c r="O2036" i="1" s="1"/>
  <c r="O2035" i="1" a="1"/>
  <c r="O2035" i="1" s="1"/>
  <c r="O2034" i="1" a="1"/>
  <c r="O2034" i="1" s="1"/>
  <c r="O2033" i="1" a="1"/>
  <c r="O2033" i="1" s="1"/>
  <c r="O2032" i="1" a="1"/>
  <c r="O2032" i="1" s="1"/>
  <c r="O2031" i="1" a="1"/>
  <c r="O2031" i="1" s="1"/>
  <c r="O2030" i="1" a="1"/>
  <c r="O2030" i="1" s="1"/>
  <c r="O2029" i="1" a="1"/>
  <c r="O2029" i="1" s="1"/>
  <c r="O2028" i="1" a="1"/>
  <c r="O2028" i="1" s="1"/>
  <c r="O2027" i="1" a="1"/>
  <c r="O2027" i="1" s="1"/>
  <c r="O2026" i="1" a="1"/>
  <c r="O2026" i="1" s="1"/>
  <c r="O2025" i="1" a="1"/>
  <c r="O2025" i="1" s="1"/>
  <c r="O2024" i="1" a="1"/>
  <c r="O2024" i="1" s="1"/>
  <c r="O2023" i="1" a="1"/>
  <c r="O2023" i="1" s="1"/>
  <c r="O2022" i="1" a="1"/>
  <c r="O2022" i="1" s="1"/>
  <c r="O2021" i="1" a="1"/>
  <c r="O2021" i="1" s="1"/>
  <c r="O2020" i="1" a="1"/>
  <c r="O2020" i="1" s="1"/>
  <c r="O2019" i="1" a="1"/>
  <c r="O2019" i="1" s="1"/>
  <c r="O2018" i="1" a="1"/>
  <c r="O2018" i="1" s="1"/>
  <c r="O2017" i="1" a="1"/>
  <c r="O2017" i="1" s="1"/>
  <c r="O2016" i="1" a="1"/>
  <c r="O2016" i="1" s="1"/>
  <c r="O2015" i="1" a="1"/>
  <c r="O2015" i="1" s="1"/>
  <c r="O2014" i="1" a="1"/>
  <c r="O2014" i="1" s="1"/>
  <c r="O2013" i="1" a="1"/>
  <c r="O2013" i="1" s="1"/>
  <c r="O2012" i="1" a="1"/>
  <c r="O2012" i="1" s="1"/>
  <c r="O2011" i="1" a="1"/>
  <c r="O2011" i="1" s="1"/>
  <c r="O2010" i="1" a="1"/>
  <c r="O2010" i="1" s="1"/>
  <c r="O2009" i="1" a="1"/>
  <c r="O2009" i="1" s="1"/>
  <c r="O2008" i="1" a="1"/>
  <c r="O2008" i="1" s="1"/>
  <c r="O2007" i="1" a="1"/>
  <c r="O2007" i="1" s="1"/>
  <c r="O2006" i="1" a="1"/>
  <c r="O2006" i="1" s="1"/>
  <c r="O2005" i="1" a="1"/>
  <c r="O2005" i="1" s="1"/>
  <c r="O2004" i="1" a="1"/>
  <c r="O2004" i="1" s="1"/>
  <c r="O2003" i="1" a="1"/>
  <c r="O2003" i="1" s="1"/>
  <c r="O2002" i="1" a="1"/>
  <c r="O2002" i="1" s="1"/>
  <c r="O2001" i="1" a="1"/>
  <c r="O2001" i="1" s="1"/>
  <c r="O2000" i="1" a="1"/>
  <c r="O2000" i="1" s="1"/>
  <c r="O1999" i="1" a="1"/>
  <c r="O1999" i="1" s="1"/>
  <c r="O1998" i="1" a="1"/>
  <c r="O1998" i="1" s="1"/>
  <c r="O1997" i="1" a="1"/>
  <c r="O1997" i="1" s="1"/>
  <c r="O1996" i="1" a="1"/>
  <c r="O1996" i="1" s="1"/>
  <c r="O1995" i="1" a="1"/>
  <c r="O1995" i="1" s="1"/>
  <c r="O1994" i="1" a="1"/>
  <c r="O1994" i="1" s="1"/>
  <c r="O1993" i="1" a="1"/>
  <c r="O1993" i="1" s="1"/>
  <c r="O1992" i="1" a="1"/>
  <c r="O1992" i="1" s="1"/>
  <c r="O1991" i="1" a="1"/>
  <c r="O1991" i="1" s="1"/>
  <c r="O1990" i="1" a="1"/>
  <c r="O1990" i="1" s="1"/>
  <c r="O1989" i="1" a="1"/>
  <c r="O1989" i="1" s="1"/>
  <c r="O1988" i="1" a="1"/>
  <c r="O1988" i="1" s="1"/>
  <c r="O1987" i="1" a="1"/>
  <c r="O1987" i="1" s="1"/>
  <c r="O1986" i="1" a="1"/>
  <c r="O1986" i="1" s="1"/>
  <c r="O1985" i="1" a="1"/>
  <c r="O1985" i="1" s="1"/>
  <c r="O1984" i="1" a="1"/>
  <c r="O1984" i="1" s="1"/>
  <c r="O1983" i="1" a="1"/>
  <c r="O1983" i="1" s="1"/>
  <c r="O1982" i="1" a="1"/>
  <c r="O1982" i="1" s="1"/>
  <c r="O1981" i="1" a="1"/>
  <c r="O1981" i="1" s="1"/>
  <c r="O1980" i="1" a="1"/>
  <c r="O1980" i="1" s="1"/>
  <c r="O1979" i="1" a="1"/>
  <c r="O1979" i="1" s="1"/>
  <c r="O1978" i="1" a="1"/>
  <c r="O1978" i="1" s="1"/>
  <c r="O1977" i="1" a="1"/>
  <c r="O1977" i="1" s="1"/>
  <c r="O1976" i="1" a="1"/>
  <c r="O1976" i="1" s="1"/>
  <c r="O1975" i="1" a="1"/>
  <c r="O1975" i="1" s="1"/>
  <c r="O1974" i="1" a="1"/>
  <c r="O1974" i="1" s="1"/>
  <c r="O1973" i="1" a="1"/>
  <c r="O1973" i="1" s="1"/>
  <c r="O1972" i="1" a="1"/>
  <c r="O1972" i="1" s="1"/>
  <c r="O1971" i="1" a="1"/>
  <c r="O1971" i="1" s="1"/>
  <c r="O1970" i="1" a="1"/>
  <c r="O1970" i="1" s="1"/>
  <c r="O1969" i="1" a="1"/>
  <c r="O1969" i="1" s="1"/>
  <c r="O1968" i="1" a="1"/>
  <c r="O1968" i="1" s="1"/>
  <c r="O1967" i="1" a="1"/>
  <c r="O1967" i="1" s="1"/>
  <c r="O1966" i="1" a="1"/>
  <c r="O1966" i="1" s="1"/>
  <c r="O1965" i="1" a="1"/>
  <c r="O1965" i="1" s="1"/>
  <c r="O1964" i="1" a="1"/>
  <c r="O1964" i="1" s="1"/>
  <c r="O1963" i="1" a="1"/>
  <c r="O1963" i="1" s="1"/>
  <c r="O1962" i="1" a="1"/>
  <c r="O1962" i="1" s="1"/>
  <c r="O1961" i="1" a="1"/>
  <c r="O1961" i="1" s="1"/>
  <c r="O1960" i="1" a="1"/>
  <c r="O1960" i="1" s="1"/>
  <c r="O1959" i="1" a="1"/>
  <c r="O1959" i="1" s="1"/>
  <c r="O1958" i="1" a="1"/>
  <c r="O1958" i="1" s="1"/>
  <c r="O1957" i="1" a="1"/>
  <c r="O1957" i="1" s="1"/>
  <c r="O1956" i="1" a="1"/>
  <c r="O1956" i="1" s="1"/>
  <c r="O1955" i="1" a="1"/>
  <c r="O1955" i="1" s="1"/>
  <c r="O1954" i="1" a="1"/>
  <c r="O1954" i="1" s="1"/>
  <c r="O1953" i="1" a="1"/>
  <c r="O1953" i="1" s="1"/>
  <c r="O1952" i="1" a="1"/>
  <c r="O1952" i="1" s="1"/>
  <c r="O1951" i="1" a="1"/>
  <c r="O1951" i="1" s="1"/>
  <c r="O1950" i="1" a="1"/>
  <c r="O1950" i="1" s="1"/>
  <c r="O1949" i="1" a="1"/>
  <c r="O1949" i="1" s="1"/>
  <c r="O1948" i="1" a="1"/>
  <c r="O1948" i="1" s="1"/>
  <c r="O1947" i="1" a="1"/>
  <c r="O1947" i="1" s="1"/>
  <c r="O1946" i="1" a="1"/>
  <c r="O1946" i="1" s="1"/>
  <c r="O1945" i="1" a="1"/>
  <c r="O1945" i="1" s="1"/>
  <c r="O1944" i="1" a="1"/>
  <c r="O1944" i="1" s="1"/>
  <c r="O1943" i="1" a="1"/>
  <c r="O1943" i="1" s="1"/>
  <c r="O1942" i="1" a="1"/>
  <c r="O1942" i="1" s="1"/>
  <c r="O1941" i="1" a="1"/>
  <c r="O1941" i="1" s="1"/>
  <c r="O1940" i="1" a="1"/>
  <c r="O1940" i="1" s="1"/>
  <c r="O1939" i="1" a="1"/>
  <c r="O1939" i="1" s="1"/>
  <c r="O1938" i="1" a="1"/>
  <c r="O1938" i="1" s="1"/>
  <c r="O1937" i="1" a="1"/>
  <c r="O1937" i="1" s="1"/>
  <c r="O1936" i="1" a="1"/>
  <c r="O1936" i="1" s="1"/>
  <c r="O1935" i="1" a="1"/>
  <c r="O1935" i="1" s="1"/>
  <c r="O1934" i="1" a="1"/>
  <c r="O1934" i="1" s="1"/>
  <c r="O1933" i="1" a="1"/>
  <c r="O1933" i="1" s="1"/>
  <c r="O1932" i="1" a="1"/>
  <c r="O1932" i="1" s="1"/>
  <c r="O1931" i="1" a="1"/>
  <c r="O1931" i="1" s="1"/>
  <c r="O1930" i="1" a="1"/>
  <c r="O1930" i="1" s="1"/>
  <c r="O1929" i="1" a="1"/>
  <c r="O1929" i="1" s="1"/>
  <c r="O1928" i="1" a="1"/>
  <c r="O1928" i="1" s="1"/>
  <c r="O1927" i="1" a="1"/>
  <c r="O1927" i="1" s="1"/>
  <c r="O1926" i="1" a="1"/>
  <c r="O1926" i="1" s="1"/>
  <c r="O1925" i="1" a="1"/>
  <c r="O1925" i="1" s="1"/>
  <c r="O1924" i="1" a="1"/>
  <c r="O1924" i="1" s="1"/>
  <c r="O1923" i="1" a="1"/>
  <c r="O1923" i="1" s="1"/>
  <c r="O1922" i="1" a="1"/>
  <c r="O1922" i="1" s="1"/>
  <c r="O1921" i="1" a="1"/>
  <c r="O1921" i="1" s="1"/>
  <c r="O1920" i="1" a="1"/>
  <c r="O1920" i="1" s="1"/>
  <c r="O1919" i="1" a="1"/>
  <c r="O1919" i="1" s="1"/>
  <c r="O1918" i="1" a="1"/>
  <c r="O1918" i="1" s="1"/>
  <c r="O1917" i="1" a="1"/>
  <c r="O1917" i="1" s="1"/>
  <c r="O1916" i="1" a="1"/>
  <c r="O1916" i="1" s="1"/>
  <c r="O1915" i="1" a="1"/>
  <c r="O1915" i="1" s="1"/>
  <c r="O1914" i="1" a="1"/>
  <c r="O1914" i="1" s="1"/>
  <c r="O1913" i="1" a="1"/>
  <c r="O1913" i="1" s="1"/>
  <c r="O1912" i="1" a="1"/>
  <c r="O1912" i="1" s="1"/>
  <c r="O1911" i="1" a="1"/>
  <c r="O1911" i="1" s="1"/>
  <c r="O1910" i="1" a="1"/>
  <c r="O1910" i="1" s="1"/>
  <c r="O1909" i="1" a="1"/>
  <c r="O1909" i="1" s="1"/>
  <c r="O1908" i="1" a="1"/>
  <c r="O1908" i="1" s="1"/>
  <c r="O1907" i="1" a="1"/>
  <c r="O1907" i="1" s="1"/>
  <c r="O1906" i="1" a="1"/>
  <c r="O1906" i="1" s="1"/>
  <c r="O1905" i="1" a="1"/>
  <c r="O1905" i="1" s="1"/>
  <c r="O1904" i="1" a="1"/>
  <c r="O1904" i="1" s="1"/>
  <c r="O1903" i="1" a="1"/>
  <c r="O1903" i="1" s="1"/>
  <c r="O1902" i="1" a="1"/>
  <c r="O1902" i="1" s="1"/>
  <c r="O1901" i="1" a="1"/>
  <c r="O1901" i="1" s="1"/>
  <c r="O1900" i="1" a="1"/>
  <c r="O1900" i="1" s="1"/>
  <c r="O1899" i="1" a="1"/>
  <c r="O1899" i="1" s="1"/>
  <c r="O1898" i="1" a="1"/>
  <c r="O1898" i="1" s="1"/>
  <c r="O1897" i="1" a="1"/>
  <c r="O1897" i="1" s="1"/>
  <c r="O1896" i="1" a="1"/>
  <c r="O1896" i="1" s="1"/>
  <c r="O1895" i="1" a="1"/>
  <c r="O1895" i="1" s="1"/>
  <c r="O1894" i="1" a="1"/>
  <c r="O1894" i="1" s="1"/>
  <c r="O1893" i="1" a="1"/>
  <c r="O1893" i="1" s="1"/>
  <c r="O1892" i="1" a="1"/>
  <c r="O1892" i="1" s="1"/>
  <c r="O1891" i="1" a="1"/>
  <c r="O1891" i="1" s="1"/>
  <c r="O1890" i="1" a="1"/>
  <c r="O1890" i="1" s="1"/>
  <c r="O1889" i="1" a="1"/>
  <c r="O1889" i="1" s="1"/>
  <c r="O1888" i="1" a="1"/>
  <c r="O1888" i="1" s="1"/>
  <c r="O1887" i="1" a="1"/>
  <c r="O1887" i="1" s="1"/>
  <c r="O1886" i="1" a="1"/>
  <c r="O1886" i="1" s="1"/>
  <c r="O1885" i="1" a="1"/>
  <c r="O1885" i="1" s="1"/>
  <c r="O1884" i="1" a="1"/>
  <c r="O1884" i="1" s="1"/>
  <c r="O1883" i="1" a="1"/>
  <c r="O1883" i="1" s="1"/>
  <c r="O1882" i="1" a="1"/>
  <c r="O1882" i="1" s="1"/>
  <c r="O1881" i="1" a="1"/>
  <c r="O1881" i="1" s="1"/>
  <c r="O1880" i="1" a="1"/>
  <c r="O1880" i="1" s="1"/>
  <c r="O1879" i="1" a="1"/>
  <c r="O1879" i="1" s="1"/>
  <c r="O1878" i="1" a="1"/>
  <c r="O1878" i="1" s="1"/>
  <c r="O1877" i="1" a="1"/>
  <c r="O1877" i="1" s="1"/>
  <c r="O1876" i="1" a="1"/>
  <c r="O1876" i="1" s="1"/>
  <c r="O1875" i="1" a="1"/>
  <c r="O1875" i="1" s="1"/>
  <c r="O1874" i="1" a="1"/>
  <c r="O1874" i="1" s="1"/>
  <c r="O1873" i="1" a="1"/>
  <c r="O1873" i="1" s="1"/>
  <c r="O1872" i="1" a="1"/>
  <c r="O1872" i="1" s="1"/>
  <c r="O1871" i="1" a="1"/>
  <c r="O1871" i="1" s="1"/>
  <c r="O1870" i="1" a="1"/>
  <c r="O1870" i="1" s="1"/>
  <c r="O1869" i="1" a="1"/>
  <c r="O1869" i="1" s="1"/>
  <c r="O1868" i="1" a="1"/>
  <c r="O1868" i="1" s="1"/>
  <c r="O1867" i="1" a="1"/>
  <c r="O1867" i="1" s="1"/>
  <c r="O1866" i="1" a="1"/>
  <c r="O1866" i="1" s="1"/>
  <c r="O1865" i="1" a="1"/>
  <c r="O1865" i="1" s="1"/>
  <c r="O1864" i="1" a="1"/>
  <c r="O1864" i="1" s="1"/>
  <c r="O1863" i="1" a="1"/>
  <c r="O1863" i="1" s="1"/>
  <c r="O1862" i="1" a="1"/>
  <c r="O1862" i="1" s="1"/>
  <c r="O1861" i="1" a="1"/>
  <c r="O1861" i="1" s="1"/>
  <c r="O1860" i="1" a="1"/>
  <c r="O1860" i="1" s="1"/>
  <c r="O1859" i="1" a="1"/>
  <c r="O1859" i="1" s="1"/>
  <c r="O1858" i="1" a="1"/>
  <c r="O1858" i="1" s="1"/>
  <c r="O1857" i="1" a="1"/>
  <c r="O1857" i="1" s="1"/>
  <c r="O1856" i="1" a="1"/>
  <c r="O1856" i="1" s="1"/>
  <c r="O1855" i="1" a="1"/>
  <c r="O1855" i="1" s="1"/>
  <c r="O1854" i="1" a="1"/>
  <c r="O1854" i="1" s="1"/>
  <c r="O1853" i="1" a="1"/>
  <c r="O1853" i="1" s="1"/>
  <c r="O1852" i="1" a="1"/>
  <c r="O1852" i="1" s="1"/>
  <c r="O1851" i="1" a="1"/>
  <c r="O1851" i="1" s="1"/>
  <c r="O1850" i="1" a="1"/>
  <c r="O1850" i="1" s="1"/>
  <c r="O1849" i="1" a="1"/>
  <c r="O1849" i="1" s="1"/>
  <c r="O1848" i="1" a="1"/>
  <c r="O1848" i="1" s="1"/>
  <c r="O1847" i="1" a="1"/>
  <c r="O1847" i="1" s="1"/>
  <c r="O1846" i="1" a="1"/>
  <c r="O1846" i="1" s="1"/>
  <c r="O1845" i="1" a="1"/>
  <c r="O1845" i="1" s="1"/>
  <c r="O1844" i="1" a="1"/>
  <c r="O1844" i="1" s="1"/>
  <c r="O1843" i="1" a="1"/>
  <c r="O1843" i="1" s="1"/>
  <c r="O1842" i="1" a="1"/>
  <c r="O1842" i="1" s="1"/>
  <c r="O1841" i="1" a="1"/>
  <c r="O1841" i="1" s="1"/>
  <c r="O1840" i="1" a="1"/>
  <c r="O1840" i="1" s="1"/>
  <c r="O1839" i="1" a="1"/>
  <c r="O1839" i="1" s="1"/>
  <c r="O1838" i="1" a="1"/>
  <c r="O1838" i="1" s="1"/>
  <c r="O1837" i="1" a="1"/>
  <c r="O1837" i="1" s="1"/>
  <c r="O1836" i="1" a="1"/>
  <c r="O1836" i="1" s="1"/>
  <c r="O1835" i="1" a="1"/>
  <c r="O1835" i="1" s="1"/>
  <c r="O1834" i="1" a="1"/>
  <c r="O1834" i="1" s="1"/>
  <c r="O1833" i="1" a="1"/>
  <c r="O1833" i="1" s="1"/>
  <c r="O1832" i="1" a="1"/>
  <c r="O1832" i="1" s="1"/>
  <c r="O1831" i="1" a="1"/>
  <c r="O1831" i="1" s="1"/>
  <c r="O1830" i="1" a="1"/>
  <c r="O1830" i="1" s="1"/>
  <c r="O1829" i="1" a="1"/>
  <c r="O1829" i="1" s="1"/>
  <c r="O1828" i="1" a="1"/>
  <c r="O1828" i="1" s="1"/>
  <c r="O1827" i="1" a="1"/>
  <c r="O1827" i="1" s="1"/>
  <c r="O1826" i="1" a="1"/>
  <c r="O1826" i="1" s="1"/>
  <c r="O1825" i="1" a="1"/>
  <c r="O1825" i="1" s="1"/>
  <c r="O1824" i="1" a="1"/>
  <c r="O1824" i="1" s="1"/>
  <c r="O1823" i="1" a="1"/>
  <c r="O1823" i="1" s="1"/>
  <c r="O1822" i="1" a="1"/>
  <c r="O1822" i="1" s="1"/>
  <c r="O1821" i="1" a="1"/>
  <c r="O1821" i="1" s="1"/>
  <c r="O1820" i="1" a="1"/>
  <c r="O1820" i="1" s="1"/>
  <c r="O1819" i="1" a="1"/>
  <c r="O1819" i="1" s="1"/>
  <c r="O1818" i="1" a="1"/>
  <c r="O1818" i="1" s="1"/>
  <c r="O1817" i="1" a="1"/>
  <c r="O1817" i="1" s="1"/>
  <c r="O1816" i="1" a="1"/>
  <c r="O1816" i="1" s="1"/>
  <c r="O1815" i="1" a="1"/>
  <c r="O1815" i="1" s="1"/>
  <c r="O1814" i="1" a="1"/>
  <c r="O1814" i="1" s="1"/>
  <c r="O1813" i="1" a="1"/>
  <c r="O1813" i="1" s="1"/>
  <c r="O1812" i="1" a="1"/>
  <c r="O1812" i="1" s="1"/>
  <c r="O1811" i="1" a="1"/>
  <c r="O1811" i="1" s="1"/>
  <c r="O1810" i="1" a="1"/>
  <c r="O1810" i="1" s="1"/>
  <c r="O1809" i="1" a="1"/>
  <c r="O1809" i="1" s="1"/>
  <c r="O1808" i="1" a="1"/>
  <c r="O1808" i="1" s="1"/>
  <c r="O1807" i="1" a="1"/>
  <c r="O1807" i="1" s="1"/>
  <c r="O1806" i="1" a="1"/>
  <c r="O1806" i="1" s="1"/>
  <c r="O1805" i="1" a="1"/>
  <c r="O1805" i="1" s="1"/>
  <c r="O1804" i="1" a="1"/>
  <c r="O1804" i="1" s="1"/>
  <c r="O1803" i="1" a="1"/>
  <c r="O1803" i="1" s="1"/>
  <c r="O1802" i="1" a="1"/>
  <c r="O1802" i="1" s="1"/>
  <c r="O1801" i="1" a="1"/>
  <c r="O1801" i="1" s="1"/>
  <c r="O1800" i="1" a="1"/>
  <c r="O1800" i="1" s="1"/>
  <c r="O1799" i="1" a="1"/>
  <c r="O1799" i="1" s="1"/>
  <c r="O1798" i="1" a="1"/>
  <c r="O1798" i="1" s="1"/>
  <c r="O1797" i="1" a="1"/>
  <c r="O1797" i="1" s="1"/>
  <c r="O1796" i="1" a="1"/>
  <c r="O1796" i="1" s="1"/>
  <c r="O1795" i="1" a="1"/>
  <c r="O1795" i="1" s="1"/>
  <c r="O1794" i="1" a="1"/>
  <c r="O1794" i="1" s="1"/>
  <c r="O1793" i="1" a="1"/>
  <c r="O1793" i="1" s="1"/>
  <c r="O1792" i="1" a="1"/>
  <c r="O1792" i="1" s="1"/>
  <c r="O1791" i="1" a="1"/>
  <c r="O1791" i="1" s="1"/>
  <c r="O1790" i="1" a="1"/>
  <c r="O1790" i="1" s="1"/>
  <c r="O1789" i="1" a="1"/>
  <c r="O1789" i="1" s="1"/>
  <c r="O1788" i="1" a="1"/>
  <c r="O1788" i="1" s="1"/>
  <c r="O1787" i="1" a="1"/>
  <c r="O1787" i="1" s="1"/>
  <c r="O1786" i="1" a="1"/>
  <c r="O1786" i="1" s="1"/>
  <c r="O1785" i="1" a="1"/>
  <c r="O1785" i="1" s="1"/>
  <c r="O1784" i="1" a="1"/>
  <c r="O1784" i="1" s="1"/>
  <c r="O1783" i="1" a="1"/>
  <c r="O1783" i="1" s="1"/>
  <c r="O1782" i="1" a="1"/>
  <c r="O1782" i="1" s="1"/>
  <c r="O1781" i="1" a="1"/>
  <c r="O1781" i="1" s="1"/>
  <c r="O1780" i="1" a="1"/>
  <c r="O1780" i="1" s="1"/>
  <c r="O1779" i="1" a="1"/>
  <c r="O1779" i="1" s="1"/>
  <c r="O1778" i="1" a="1"/>
  <c r="O1778" i="1" s="1"/>
  <c r="O1777" i="1" a="1"/>
  <c r="O1777" i="1" s="1"/>
  <c r="O1776" i="1" a="1"/>
  <c r="O1776" i="1" s="1"/>
  <c r="O1775" i="1" a="1"/>
  <c r="O1775" i="1" s="1"/>
  <c r="O1774" i="1" a="1"/>
  <c r="O1774" i="1" s="1"/>
  <c r="O1773" i="1" a="1"/>
  <c r="O1773" i="1" s="1"/>
  <c r="O1772" i="1" a="1"/>
  <c r="O1772" i="1" s="1"/>
  <c r="O1771" i="1" a="1"/>
  <c r="O1771" i="1" s="1"/>
  <c r="O1770" i="1" a="1"/>
  <c r="O1770" i="1" s="1"/>
  <c r="O1769" i="1" a="1"/>
  <c r="O1769" i="1" s="1"/>
  <c r="O1768" i="1" a="1"/>
  <c r="O1768" i="1" s="1"/>
  <c r="O1767" i="1" a="1"/>
  <c r="O1767" i="1" s="1"/>
  <c r="O1766" i="1" a="1"/>
  <c r="O1766" i="1" s="1"/>
  <c r="O1765" i="1" a="1"/>
  <c r="O1765" i="1" s="1"/>
  <c r="O1764" i="1" a="1"/>
  <c r="O1764" i="1" s="1"/>
  <c r="O1763" i="1" a="1"/>
  <c r="O1763" i="1" s="1"/>
  <c r="O1762" i="1" a="1"/>
  <c r="O1762" i="1" s="1"/>
  <c r="O1761" i="1" a="1"/>
  <c r="O1761" i="1" s="1"/>
  <c r="O1760" i="1" a="1"/>
  <c r="O1760" i="1" s="1"/>
  <c r="O1759" i="1" a="1"/>
  <c r="O1759" i="1" s="1"/>
  <c r="O1758" i="1" a="1"/>
  <c r="O1758" i="1" s="1"/>
  <c r="O1757" i="1" a="1"/>
  <c r="O1757" i="1" s="1"/>
  <c r="O1756" i="1" a="1"/>
  <c r="O1756" i="1" s="1"/>
  <c r="O1755" i="1" a="1"/>
  <c r="O1755" i="1" s="1"/>
  <c r="O1754" i="1" a="1"/>
  <c r="O1754" i="1" s="1"/>
  <c r="O1753" i="1" a="1"/>
  <c r="O1753" i="1" s="1"/>
  <c r="O1752" i="1" a="1"/>
  <c r="O1752" i="1" s="1"/>
  <c r="O1751" i="1" a="1"/>
  <c r="O1751" i="1" s="1"/>
  <c r="O1750" i="1" a="1"/>
  <c r="O1750" i="1" s="1"/>
  <c r="O1749" i="1" a="1"/>
  <c r="O1749" i="1" s="1"/>
  <c r="O1748" i="1" a="1"/>
  <c r="O1748" i="1" s="1"/>
  <c r="O1747" i="1" a="1"/>
  <c r="O1747" i="1" s="1"/>
  <c r="O1746" i="1" a="1"/>
  <c r="O1746" i="1" s="1"/>
  <c r="O1745" i="1" a="1"/>
  <c r="O1745" i="1" s="1"/>
  <c r="O1744" i="1" a="1"/>
  <c r="O1744" i="1" s="1"/>
  <c r="O1743" i="1" a="1"/>
  <c r="O1743" i="1" s="1"/>
  <c r="O1742" i="1" a="1"/>
  <c r="O1742" i="1" s="1"/>
  <c r="O1741" i="1" a="1"/>
  <c r="O1741" i="1" s="1"/>
  <c r="O1740" i="1" a="1"/>
  <c r="O1740" i="1" s="1"/>
  <c r="O1739" i="1" a="1"/>
  <c r="O1739" i="1" s="1"/>
  <c r="O1738" i="1" a="1"/>
  <c r="O1738" i="1" s="1"/>
  <c r="O1737" i="1" a="1"/>
  <c r="O1737" i="1" s="1"/>
  <c r="O1736" i="1" a="1"/>
  <c r="O1736" i="1" s="1"/>
  <c r="O1735" i="1" a="1"/>
  <c r="O1735" i="1" s="1"/>
  <c r="O1734" i="1" a="1"/>
  <c r="O1734" i="1" s="1"/>
  <c r="O1733" i="1" a="1"/>
  <c r="O1733" i="1" s="1"/>
  <c r="O1732" i="1" a="1"/>
  <c r="O1732" i="1" s="1"/>
  <c r="O1731" i="1" a="1"/>
  <c r="O1731" i="1" s="1"/>
  <c r="O1730" i="1" a="1"/>
  <c r="O1730" i="1" s="1"/>
  <c r="O1729" i="1" a="1"/>
  <c r="O1729" i="1" s="1"/>
  <c r="O1728" i="1" a="1"/>
  <c r="O1728" i="1" s="1"/>
  <c r="O1727" i="1" a="1"/>
  <c r="O1727" i="1" s="1"/>
  <c r="O1726" i="1" a="1"/>
  <c r="O1726" i="1" s="1"/>
  <c r="O1725" i="1" a="1"/>
  <c r="O1725" i="1" s="1"/>
  <c r="O1724" i="1" a="1"/>
  <c r="O1724" i="1" s="1"/>
  <c r="O1723" i="1" a="1"/>
  <c r="O1723" i="1" s="1"/>
  <c r="O1722" i="1" a="1"/>
  <c r="O1722" i="1" s="1"/>
  <c r="O1721" i="1" a="1"/>
  <c r="O1721" i="1" s="1"/>
  <c r="O1720" i="1" a="1"/>
  <c r="O1720" i="1" s="1"/>
  <c r="O1719" i="1" a="1"/>
  <c r="O1719" i="1" s="1"/>
  <c r="O1718" i="1" a="1"/>
  <c r="O1718" i="1" s="1"/>
  <c r="O1717" i="1" a="1"/>
  <c r="O1717" i="1" s="1"/>
  <c r="O1716" i="1" a="1"/>
  <c r="O1716" i="1" s="1"/>
  <c r="O1715" i="1" a="1"/>
  <c r="O1715" i="1" s="1"/>
  <c r="O1714" i="1" a="1"/>
  <c r="O1714" i="1" s="1"/>
  <c r="O1713" i="1" a="1"/>
  <c r="O1713" i="1" s="1"/>
  <c r="O1712" i="1" a="1"/>
  <c r="O1712" i="1" s="1"/>
  <c r="O1711" i="1" a="1"/>
  <c r="O1711" i="1" s="1"/>
  <c r="O1710" i="1" a="1"/>
  <c r="O1710" i="1" s="1"/>
  <c r="O1709" i="1" a="1"/>
  <c r="O1709" i="1" s="1"/>
  <c r="O1708" i="1" a="1"/>
  <c r="O1708" i="1" s="1"/>
  <c r="O1707" i="1" a="1"/>
  <c r="O1707" i="1" s="1"/>
  <c r="O1706" i="1" a="1"/>
  <c r="O1706" i="1" s="1"/>
  <c r="O1705" i="1" a="1"/>
  <c r="O1705" i="1" s="1"/>
  <c r="O1704" i="1" a="1"/>
  <c r="O1704" i="1" s="1"/>
  <c r="O1703" i="1" a="1"/>
  <c r="O1703" i="1" s="1"/>
  <c r="O1702" i="1" a="1"/>
  <c r="O1702" i="1" s="1"/>
  <c r="O1701" i="1" a="1"/>
  <c r="O1701" i="1" s="1"/>
  <c r="O1700" i="1" a="1"/>
  <c r="O1700" i="1" s="1"/>
  <c r="O1699" i="1" a="1"/>
  <c r="O1699" i="1" s="1"/>
  <c r="O1698" i="1" a="1"/>
  <c r="O1698" i="1" s="1"/>
  <c r="O1697" i="1" a="1"/>
  <c r="O1697" i="1" s="1"/>
  <c r="O1696" i="1" a="1"/>
  <c r="O1696" i="1" s="1"/>
  <c r="O1695" i="1" a="1"/>
  <c r="O1695" i="1" s="1"/>
  <c r="O1694" i="1" a="1"/>
  <c r="O1694" i="1" s="1"/>
  <c r="O1693" i="1" a="1"/>
  <c r="O1693" i="1" s="1"/>
  <c r="O1692" i="1" a="1"/>
  <c r="O1692" i="1" s="1"/>
  <c r="O1691" i="1" a="1"/>
  <c r="O1691" i="1" s="1"/>
  <c r="O1690" i="1" a="1"/>
  <c r="O1690" i="1" s="1"/>
  <c r="O1689" i="1" a="1"/>
  <c r="O1689" i="1" s="1"/>
  <c r="O1688" i="1" a="1"/>
  <c r="O1688" i="1" s="1"/>
  <c r="O1687" i="1" a="1"/>
  <c r="O1687" i="1" s="1"/>
  <c r="O1686" i="1" a="1"/>
  <c r="O1686" i="1" s="1"/>
  <c r="O1685" i="1" a="1"/>
  <c r="O1685" i="1" s="1"/>
  <c r="O1684" i="1" a="1"/>
  <c r="O1684" i="1" s="1"/>
  <c r="O1683" i="1" a="1"/>
  <c r="O1683" i="1" s="1"/>
  <c r="O1682" i="1" a="1"/>
  <c r="O1682" i="1" s="1"/>
  <c r="O1681" i="1" a="1"/>
  <c r="O1681" i="1" s="1"/>
  <c r="O1680" i="1" a="1"/>
  <c r="O1680" i="1" s="1"/>
  <c r="O1679" i="1" a="1"/>
  <c r="O1679" i="1" s="1"/>
  <c r="O1678" i="1" a="1"/>
  <c r="O1678" i="1" s="1"/>
  <c r="O1677" i="1" a="1"/>
  <c r="O1677" i="1" s="1"/>
  <c r="O1676" i="1" a="1"/>
  <c r="O1676" i="1" s="1"/>
  <c r="O1675" i="1" a="1"/>
  <c r="O1675" i="1" s="1"/>
  <c r="O1674" i="1" a="1"/>
  <c r="O1674" i="1" s="1"/>
  <c r="O1673" i="1" a="1"/>
  <c r="O1673" i="1" s="1"/>
  <c r="O1672" i="1" a="1"/>
  <c r="O1672" i="1" s="1"/>
  <c r="O1671" i="1" a="1"/>
  <c r="O1671" i="1" s="1"/>
  <c r="O1670" i="1" a="1"/>
  <c r="O1670" i="1" s="1"/>
  <c r="O1669" i="1" a="1"/>
  <c r="O1669" i="1" s="1"/>
  <c r="O1668" i="1" a="1"/>
  <c r="O1668" i="1" s="1"/>
  <c r="O1667" i="1" a="1"/>
  <c r="O1667" i="1" s="1"/>
  <c r="O1666" i="1" a="1"/>
  <c r="O1666" i="1" s="1"/>
  <c r="O1665" i="1" a="1"/>
  <c r="O1665" i="1" s="1"/>
  <c r="O1664" i="1" a="1"/>
  <c r="O1664" i="1" s="1"/>
  <c r="O1663" i="1" a="1"/>
  <c r="O1663" i="1" s="1"/>
  <c r="O1662" i="1" a="1"/>
  <c r="O1662" i="1" s="1"/>
  <c r="O1661" i="1" a="1"/>
  <c r="O1661" i="1" s="1"/>
  <c r="O1660" i="1" a="1"/>
  <c r="O1660" i="1" s="1"/>
  <c r="O1659" i="1" a="1"/>
  <c r="O1659" i="1" s="1"/>
  <c r="O1658" i="1" a="1"/>
  <c r="O1658" i="1" s="1"/>
  <c r="O1657" i="1" a="1"/>
  <c r="O1657" i="1" s="1"/>
  <c r="O1656" i="1" a="1"/>
  <c r="O1656" i="1" s="1"/>
  <c r="O1655" i="1" a="1"/>
  <c r="O1655" i="1" s="1"/>
  <c r="O1654" i="1" a="1"/>
  <c r="O1654" i="1" s="1"/>
  <c r="O1653" i="1" a="1"/>
  <c r="O1653" i="1" s="1"/>
  <c r="O1652" i="1" a="1"/>
  <c r="O1652" i="1" s="1"/>
  <c r="O1651" i="1" a="1"/>
  <c r="O1651" i="1" s="1"/>
  <c r="O1650" i="1" a="1"/>
  <c r="O1650" i="1" s="1"/>
  <c r="O1649" i="1" a="1"/>
  <c r="O1649" i="1" s="1"/>
  <c r="O1648" i="1" a="1"/>
  <c r="O1648" i="1" s="1"/>
  <c r="O1647" i="1" a="1"/>
  <c r="O1647" i="1" s="1"/>
  <c r="O1646" i="1" a="1"/>
  <c r="O1646" i="1" s="1"/>
  <c r="O1645" i="1" a="1"/>
  <c r="O1645" i="1" s="1"/>
  <c r="O1644" i="1" a="1"/>
  <c r="O1644" i="1" s="1"/>
  <c r="O1643" i="1" a="1"/>
  <c r="O1643" i="1" s="1"/>
  <c r="O1642" i="1" a="1"/>
  <c r="O1642" i="1" s="1"/>
  <c r="O1641" i="1" a="1"/>
  <c r="O1641" i="1" s="1"/>
  <c r="O1640" i="1" a="1"/>
  <c r="O1640" i="1" s="1"/>
  <c r="O1639" i="1" a="1"/>
  <c r="O1639" i="1" s="1"/>
  <c r="O1638" i="1" a="1"/>
  <c r="O1638" i="1" s="1"/>
  <c r="O1637" i="1" a="1"/>
  <c r="O1637" i="1" s="1"/>
  <c r="O1636" i="1" a="1"/>
  <c r="O1636" i="1" s="1"/>
  <c r="O1635" i="1" a="1"/>
  <c r="O1635" i="1" s="1"/>
  <c r="O1634" i="1" a="1"/>
  <c r="O1634" i="1" s="1"/>
  <c r="O1633" i="1" a="1"/>
  <c r="O1633" i="1" s="1"/>
  <c r="O1632" i="1" a="1"/>
  <c r="O1632" i="1" s="1"/>
  <c r="O1631" i="1" a="1"/>
  <c r="O1631" i="1" s="1"/>
  <c r="O1630" i="1" a="1"/>
  <c r="O1630" i="1" s="1"/>
  <c r="O1629" i="1" a="1"/>
  <c r="O1629" i="1" s="1"/>
  <c r="O1628" i="1" a="1"/>
  <c r="O1628" i="1" s="1"/>
  <c r="O1627" i="1" a="1"/>
  <c r="O1627" i="1" s="1"/>
  <c r="O1626" i="1" a="1"/>
  <c r="O1626" i="1" s="1"/>
  <c r="O1625" i="1" a="1"/>
  <c r="O1625" i="1" s="1"/>
  <c r="O1624" i="1" a="1"/>
  <c r="O1624" i="1" s="1"/>
  <c r="O1623" i="1" a="1"/>
  <c r="O1623" i="1" s="1"/>
  <c r="O1622" i="1" a="1"/>
  <c r="O1622" i="1" s="1"/>
  <c r="O1621" i="1" a="1"/>
  <c r="O1621" i="1" s="1"/>
  <c r="O1620" i="1" a="1"/>
  <c r="O1620" i="1" s="1"/>
  <c r="O1619" i="1" a="1"/>
  <c r="O1619" i="1" s="1"/>
  <c r="O1618" i="1" a="1"/>
  <c r="O1618" i="1" s="1"/>
  <c r="O1617" i="1" a="1"/>
  <c r="O1617" i="1" s="1"/>
  <c r="O1616" i="1" a="1"/>
  <c r="O1616" i="1" s="1"/>
  <c r="O1615" i="1" a="1"/>
  <c r="O1615" i="1" s="1"/>
  <c r="O1614" i="1" a="1"/>
  <c r="O1614" i="1" s="1"/>
  <c r="O1613" i="1" a="1"/>
  <c r="O1613" i="1" s="1"/>
  <c r="O1612" i="1" a="1"/>
  <c r="O1612" i="1" s="1"/>
  <c r="O1611" i="1" a="1"/>
  <c r="O1611" i="1" s="1"/>
  <c r="O1610" i="1" a="1"/>
  <c r="O1610" i="1" s="1"/>
  <c r="O1609" i="1" a="1"/>
  <c r="O1609" i="1" s="1"/>
  <c r="O1608" i="1" a="1"/>
  <c r="O1608" i="1" s="1"/>
  <c r="O1607" i="1" a="1"/>
  <c r="O1607" i="1" s="1"/>
  <c r="O1606" i="1" a="1"/>
  <c r="O1606" i="1" s="1"/>
  <c r="O1605" i="1" a="1"/>
  <c r="O1605" i="1" s="1"/>
  <c r="O1604" i="1" a="1"/>
  <c r="O1604" i="1" s="1"/>
  <c r="O1603" i="1" a="1"/>
  <c r="O1603" i="1" s="1"/>
  <c r="O1602" i="1" a="1"/>
  <c r="O1602" i="1" s="1"/>
  <c r="O1601" i="1" a="1"/>
  <c r="O1601" i="1" s="1"/>
  <c r="O1600" i="1" a="1"/>
  <c r="O1600" i="1" s="1"/>
  <c r="O1599" i="1" a="1"/>
  <c r="O1599" i="1" s="1"/>
  <c r="O1598" i="1" a="1"/>
  <c r="O1598" i="1" s="1"/>
  <c r="O1597" i="1" a="1"/>
  <c r="O1597" i="1" s="1"/>
  <c r="O1596" i="1" a="1"/>
  <c r="O1596" i="1" s="1"/>
  <c r="O1595" i="1" a="1"/>
  <c r="O1595" i="1" s="1"/>
  <c r="O1594" i="1" a="1"/>
  <c r="O1594" i="1" s="1"/>
  <c r="O1593" i="1" a="1"/>
  <c r="O1593" i="1" s="1"/>
  <c r="O1592" i="1" a="1"/>
  <c r="O1592" i="1" s="1"/>
  <c r="O1591" i="1" a="1"/>
  <c r="O1591" i="1" s="1"/>
  <c r="O1590" i="1" a="1"/>
  <c r="O1590" i="1" s="1"/>
  <c r="O1589" i="1" a="1"/>
  <c r="O1589" i="1" s="1"/>
  <c r="O1588" i="1" a="1"/>
  <c r="O1588" i="1" s="1"/>
  <c r="O1587" i="1" a="1"/>
  <c r="O1587" i="1" s="1"/>
  <c r="O1586" i="1" a="1"/>
  <c r="O1586" i="1" s="1"/>
  <c r="O1585" i="1" a="1"/>
  <c r="O1585" i="1" s="1"/>
  <c r="O1584" i="1" a="1"/>
  <c r="O1584" i="1" s="1"/>
  <c r="O1583" i="1" a="1"/>
  <c r="O1583" i="1" s="1"/>
  <c r="O1582" i="1" a="1"/>
  <c r="O1582" i="1" s="1"/>
  <c r="O1581" i="1" a="1"/>
  <c r="O1581" i="1" s="1"/>
  <c r="O1580" i="1" a="1"/>
  <c r="O1580" i="1" s="1"/>
  <c r="O1579" i="1" a="1"/>
  <c r="O1579" i="1" s="1"/>
  <c r="O1578" i="1" a="1"/>
  <c r="O1578" i="1" s="1"/>
  <c r="O1577" i="1" a="1"/>
  <c r="O1577" i="1" s="1"/>
  <c r="O1576" i="1" a="1"/>
  <c r="O1576" i="1" s="1"/>
  <c r="O1575" i="1" a="1"/>
  <c r="O1575" i="1" s="1"/>
  <c r="O1574" i="1" a="1"/>
  <c r="O1574" i="1" s="1"/>
  <c r="O1573" i="1" a="1"/>
  <c r="O1573" i="1" s="1"/>
  <c r="O1572" i="1" a="1"/>
  <c r="O1572" i="1" s="1"/>
  <c r="O1571" i="1" a="1"/>
  <c r="O1571" i="1" s="1"/>
  <c r="O1570" i="1" a="1"/>
  <c r="O1570" i="1" s="1"/>
  <c r="O1569" i="1" a="1"/>
  <c r="O1569" i="1" s="1"/>
  <c r="O1568" i="1" a="1"/>
  <c r="O1568" i="1" s="1"/>
  <c r="O1567" i="1" a="1"/>
  <c r="O1567" i="1" s="1"/>
  <c r="O1566" i="1" a="1"/>
  <c r="O1566" i="1" s="1"/>
  <c r="O1565" i="1" a="1"/>
  <c r="O1565" i="1" s="1"/>
  <c r="O1564" i="1" a="1"/>
  <c r="O1564" i="1" s="1"/>
  <c r="O1563" i="1" a="1"/>
  <c r="O1563" i="1" s="1"/>
  <c r="O1562" i="1" a="1"/>
  <c r="O1562" i="1" s="1"/>
  <c r="O1561" i="1" a="1"/>
  <c r="O1561" i="1" s="1"/>
  <c r="O1560" i="1" a="1"/>
  <c r="O1560" i="1" s="1"/>
  <c r="O1559" i="1" a="1"/>
  <c r="O1559" i="1" s="1"/>
  <c r="O1558" i="1" a="1"/>
  <c r="O1558" i="1" s="1"/>
  <c r="O1557" i="1" a="1"/>
  <c r="O1557" i="1" s="1"/>
  <c r="O1556" i="1" a="1"/>
  <c r="O1556" i="1" s="1"/>
  <c r="O1555" i="1" a="1"/>
  <c r="O1555" i="1" s="1"/>
  <c r="O1554" i="1" a="1"/>
  <c r="O1554" i="1" s="1"/>
  <c r="O1553" i="1" a="1"/>
  <c r="O1553" i="1" s="1"/>
  <c r="O1552" i="1" a="1"/>
  <c r="O1552" i="1" s="1"/>
  <c r="O1551" i="1" a="1"/>
  <c r="O1551" i="1" s="1"/>
  <c r="O1550" i="1" a="1"/>
  <c r="O1550" i="1" s="1"/>
  <c r="O1549" i="1" a="1"/>
  <c r="O1549" i="1" s="1"/>
  <c r="O1548" i="1" a="1"/>
  <c r="O1548" i="1" s="1"/>
  <c r="O1547" i="1" a="1"/>
  <c r="O1547" i="1" s="1"/>
  <c r="O1546" i="1" a="1"/>
  <c r="O1546" i="1" s="1"/>
  <c r="O1545" i="1" a="1"/>
  <c r="O1545" i="1" s="1"/>
  <c r="O1544" i="1" a="1"/>
  <c r="O1544" i="1" s="1"/>
  <c r="O1543" i="1" a="1"/>
  <c r="O1543" i="1" s="1"/>
  <c r="O1542" i="1" a="1"/>
  <c r="O1542" i="1" s="1"/>
  <c r="O1541" i="1" a="1"/>
  <c r="O1541" i="1" s="1"/>
  <c r="O1540" i="1" a="1"/>
  <c r="O1540" i="1" s="1"/>
  <c r="O1539" i="1" a="1"/>
  <c r="O1539" i="1" s="1"/>
  <c r="O1538" i="1" a="1"/>
  <c r="O1538" i="1" s="1"/>
  <c r="O1537" i="1" a="1"/>
  <c r="O1537" i="1" s="1"/>
  <c r="O1536" i="1" a="1"/>
  <c r="O1536" i="1" s="1"/>
  <c r="O1535" i="1" a="1"/>
  <c r="O1535" i="1" s="1"/>
  <c r="O1534" i="1" a="1"/>
  <c r="O1534" i="1" s="1"/>
  <c r="O1533" i="1" a="1"/>
  <c r="O1533" i="1" s="1"/>
  <c r="O1532" i="1" a="1"/>
  <c r="O1532" i="1" s="1"/>
  <c r="O1531" i="1" a="1"/>
  <c r="O1531" i="1" s="1"/>
  <c r="O1530" i="1" a="1"/>
  <c r="O1530" i="1" s="1"/>
  <c r="O1529" i="1" a="1"/>
  <c r="O1529" i="1" s="1"/>
  <c r="O1528" i="1" a="1"/>
  <c r="O1528" i="1" s="1"/>
  <c r="O1527" i="1" a="1"/>
  <c r="O1527" i="1" s="1"/>
  <c r="O1526" i="1" a="1"/>
  <c r="O1526" i="1" s="1"/>
  <c r="O1525" i="1" a="1"/>
  <c r="O1525" i="1" s="1"/>
  <c r="O1524" i="1" a="1"/>
  <c r="O1524" i="1" s="1"/>
  <c r="O1523" i="1" a="1"/>
  <c r="O1523" i="1" s="1"/>
  <c r="O1522" i="1" a="1"/>
  <c r="O1522" i="1" s="1"/>
  <c r="O1521" i="1" a="1"/>
  <c r="O1521" i="1" s="1"/>
  <c r="O1520" i="1" a="1"/>
  <c r="O1520" i="1" s="1"/>
  <c r="O1519" i="1" a="1"/>
  <c r="O1519" i="1" s="1"/>
  <c r="O1518" i="1" a="1"/>
  <c r="O1518" i="1" s="1"/>
  <c r="O1517" i="1" a="1"/>
  <c r="O1517" i="1" s="1"/>
  <c r="O1516" i="1" a="1"/>
  <c r="O1516" i="1" s="1"/>
  <c r="O1515" i="1" a="1"/>
  <c r="O1515" i="1" s="1"/>
  <c r="O1514" i="1" a="1"/>
  <c r="O1514" i="1" s="1"/>
  <c r="O1513" i="1" a="1"/>
  <c r="O1513" i="1" s="1"/>
  <c r="O1512" i="1" a="1"/>
  <c r="O1512" i="1" s="1"/>
  <c r="O1511" i="1" a="1"/>
  <c r="O1511" i="1" s="1"/>
  <c r="O1510" i="1" a="1"/>
  <c r="O1510" i="1" s="1"/>
  <c r="O1509" i="1" a="1"/>
  <c r="O1509" i="1" s="1"/>
  <c r="O1508" i="1" a="1"/>
  <c r="O1508" i="1" s="1"/>
  <c r="O1507" i="1" a="1"/>
  <c r="O1507" i="1" s="1"/>
  <c r="O1506" i="1" a="1"/>
  <c r="O1506" i="1" s="1"/>
  <c r="O1505" i="1" a="1"/>
  <c r="O1505" i="1" s="1"/>
  <c r="O1504" i="1" a="1"/>
  <c r="O1504" i="1" s="1"/>
  <c r="O1503" i="1" a="1"/>
  <c r="O1503" i="1" s="1"/>
  <c r="O1502" i="1" a="1"/>
  <c r="O1502" i="1" s="1"/>
  <c r="O1501" i="1" a="1"/>
  <c r="O1501" i="1" s="1"/>
  <c r="O1500" i="1" a="1"/>
  <c r="O1500" i="1" s="1"/>
  <c r="O1499" i="1" a="1"/>
  <c r="O1499" i="1" s="1"/>
  <c r="O1498" i="1" a="1"/>
  <c r="O1498" i="1" s="1"/>
  <c r="O1497" i="1" a="1"/>
  <c r="O1497" i="1" s="1"/>
  <c r="O1496" i="1" a="1"/>
  <c r="O1496" i="1" s="1"/>
  <c r="O1495" i="1" a="1"/>
  <c r="O1495" i="1" s="1"/>
  <c r="O1494" i="1" a="1"/>
  <c r="O1494" i="1" s="1"/>
  <c r="O1493" i="1" a="1"/>
  <c r="O1493" i="1" s="1"/>
  <c r="O1492" i="1" a="1"/>
  <c r="O1492" i="1" s="1"/>
  <c r="O1491" i="1" a="1"/>
  <c r="O1491" i="1" s="1"/>
  <c r="O1490" i="1" a="1"/>
  <c r="O1490" i="1" s="1"/>
  <c r="O1489" i="1" a="1"/>
  <c r="O1489" i="1" s="1"/>
  <c r="O1488" i="1" a="1"/>
  <c r="O1488" i="1" s="1"/>
  <c r="O1487" i="1" a="1"/>
  <c r="O1487" i="1" s="1"/>
  <c r="O1486" i="1" a="1"/>
  <c r="O1486" i="1" s="1"/>
  <c r="O1485" i="1" a="1"/>
  <c r="O1485" i="1" s="1"/>
  <c r="O1484" i="1" a="1"/>
  <c r="O1484" i="1" s="1"/>
  <c r="O1483" i="1" a="1"/>
  <c r="O1483" i="1" s="1"/>
  <c r="O1482" i="1" a="1"/>
  <c r="O1482" i="1" s="1"/>
  <c r="O1481" i="1" a="1"/>
  <c r="O1481" i="1" s="1"/>
  <c r="O1480" i="1" a="1"/>
  <c r="O1480" i="1" s="1"/>
  <c r="O1479" i="1" a="1"/>
  <c r="O1479" i="1" s="1"/>
  <c r="O1478" i="1" a="1"/>
  <c r="O1478" i="1" s="1"/>
  <c r="O1477" i="1" a="1"/>
  <c r="O1477" i="1" s="1"/>
  <c r="O1476" i="1" a="1"/>
  <c r="O1476" i="1" s="1"/>
  <c r="O1475" i="1" a="1"/>
  <c r="O1475" i="1" s="1"/>
  <c r="O1474" i="1" a="1"/>
  <c r="O1474" i="1" s="1"/>
  <c r="O1473" i="1" a="1"/>
  <c r="O1473" i="1" s="1"/>
  <c r="O1472" i="1" a="1"/>
  <c r="O1472" i="1" s="1"/>
  <c r="O1471" i="1" a="1"/>
  <c r="O1471" i="1" s="1"/>
  <c r="O1470" i="1" a="1"/>
  <c r="O1470" i="1" s="1"/>
  <c r="O1469" i="1" a="1"/>
  <c r="O1469" i="1" s="1"/>
  <c r="O1468" i="1" a="1"/>
  <c r="O1468" i="1" s="1"/>
  <c r="O1467" i="1" a="1"/>
  <c r="O1467" i="1" s="1"/>
  <c r="O1466" i="1" a="1"/>
  <c r="O1466" i="1" s="1"/>
  <c r="O1465" i="1" a="1"/>
  <c r="O1465" i="1" s="1"/>
  <c r="O1464" i="1" a="1"/>
  <c r="O1464" i="1" s="1"/>
  <c r="O1463" i="1" a="1"/>
  <c r="O1463" i="1" s="1"/>
  <c r="O1462" i="1" a="1"/>
  <c r="O1462" i="1" s="1"/>
  <c r="O1461" i="1" a="1"/>
  <c r="O1461" i="1" s="1"/>
  <c r="O1460" i="1" a="1"/>
  <c r="O1460" i="1" s="1"/>
  <c r="O1459" i="1" a="1"/>
  <c r="O1459" i="1" s="1"/>
  <c r="O1458" i="1" a="1"/>
  <c r="O1458" i="1" s="1"/>
  <c r="O1457" i="1" a="1"/>
  <c r="O1457" i="1" s="1"/>
  <c r="O1456" i="1" a="1"/>
  <c r="O1456" i="1" s="1"/>
  <c r="O1455" i="1" a="1"/>
  <c r="O1455" i="1" s="1"/>
  <c r="O1454" i="1" a="1"/>
  <c r="O1454" i="1" s="1"/>
  <c r="O1453" i="1" a="1"/>
  <c r="O1453" i="1" s="1"/>
  <c r="O1452" i="1" a="1"/>
  <c r="O1452" i="1" s="1"/>
  <c r="O1451" i="1" a="1"/>
  <c r="O1451" i="1" s="1"/>
  <c r="O1450" i="1" a="1"/>
  <c r="O1450" i="1" s="1"/>
  <c r="O1449" i="1" a="1"/>
  <c r="O1449" i="1" s="1"/>
  <c r="O1448" i="1" a="1"/>
  <c r="O1448" i="1" s="1"/>
  <c r="O1447" i="1" a="1"/>
  <c r="O1447" i="1" s="1"/>
  <c r="O1446" i="1" a="1"/>
  <c r="O1446" i="1" s="1"/>
  <c r="O1445" i="1" a="1"/>
  <c r="O1445" i="1" s="1"/>
  <c r="O1444" i="1" a="1"/>
  <c r="O1444" i="1" s="1"/>
  <c r="O1443" i="1" a="1"/>
  <c r="O1443" i="1" s="1"/>
  <c r="O1442" i="1" a="1"/>
  <c r="O1442" i="1" s="1"/>
  <c r="O1441" i="1" a="1"/>
  <c r="O1441" i="1" s="1"/>
  <c r="O1440" i="1" a="1"/>
  <c r="O1440" i="1" s="1"/>
  <c r="O1439" i="1" a="1"/>
  <c r="O1439" i="1" s="1"/>
  <c r="O1438" i="1" a="1"/>
  <c r="O1438" i="1" s="1"/>
  <c r="O1437" i="1" a="1"/>
  <c r="O1437" i="1" s="1"/>
  <c r="O1436" i="1" a="1"/>
  <c r="O1436" i="1" s="1"/>
  <c r="O1435" i="1" a="1"/>
  <c r="O1435" i="1" s="1"/>
  <c r="O1434" i="1" a="1"/>
  <c r="O1434" i="1" s="1"/>
  <c r="O1433" i="1" a="1"/>
  <c r="O1433" i="1" s="1"/>
  <c r="O1432" i="1" a="1"/>
  <c r="O1432" i="1" s="1"/>
  <c r="O1431" i="1" a="1"/>
  <c r="O1431" i="1" s="1"/>
  <c r="O1430" i="1" a="1"/>
  <c r="O1430" i="1" s="1"/>
  <c r="O1429" i="1" a="1"/>
  <c r="O1429" i="1" s="1"/>
  <c r="O1428" i="1" a="1"/>
  <c r="O1428" i="1" s="1"/>
  <c r="O1427" i="1" a="1"/>
  <c r="O1427" i="1" s="1"/>
  <c r="O1426" i="1" a="1"/>
  <c r="O1426" i="1" s="1"/>
  <c r="O1425" i="1" a="1"/>
  <c r="O1425" i="1" s="1"/>
  <c r="O1424" i="1" a="1"/>
  <c r="O1424" i="1" s="1"/>
  <c r="O1423" i="1" a="1"/>
  <c r="O1423" i="1" s="1"/>
  <c r="O1422" i="1" a="1"/>
  <c r="O1422" i="1" s="1"/>
  <c r="O1421" i="1" a="1"/>
  <c r="O1421" i="1" s="1"/>
  <c r="O1420" i="1" a="1"/>
  <c r="O1420" i="1" s="1"/>
  <c r="O1419" i="1" a="1"/>
  <c r="O1419" i="1" s="1"/>
  <c r="O1418" i="1" a="1"/>
  <c r="O1418" i="1" s="1"/>
  <c r="O1417" i="1" a="1"/>
  <c r="O1417" i="1" s="1"/>
  <c r="O1416" i="1" a="1"/>
  <c r="O1416" i="1" s="1"/>
  <c r="O1415" i="1" a="1"/>
  <c r="O1415" i="1" s="1"/>
  <c r="O1414" i="1" a="1"/>
  <c r="O1414" i="1" s="1"/>
  <c r="O1413" i="1" a="1"/>
  <c r="O1413" i="1" s="1"/>
  <c r="O1412" i="1" a="1"/>
  <c r="O1412" i="1" s="1"/>
  <c r="O1411" i="1" a="1"/>
  <c r="O1411" i="1" s="1"/>
  <c r="O1410" i="1" a="1"/>
  <c r="O1410" i="1" s="1"/>
  <c r="O1409" i="1" a="1"/>
  <c r="O1409" i="1" s="1"/>
  <c r="O1408" i="1" a="1"/>
  <c r="O1408" i="1" s="1"/>
  <c r="O1407" i="1" a="1"/>
  <c r="O1407" i="1" s="1"/>
  <c r="O1406" i="1" a="1"/>
  <c r="O1406" i="1" s="1"/>
  <c r="O1405" i="1" a="1"/>
  <c r="O1405" i="1" s="1"/>
  <c r="O1404" i="1" a="1"/>
  <c r="O1404" i="1" s="1"/>
  <c r="O1403" i="1" a="1"/>
  <c r="O1403" i="1" s="1"/>
  <c r="O1402" i="1" a="1"/>
  <c r="O1402" i="1" s="1"/>
  <c r="O1401" i="1" a="1"/>
  <c r="O1401" i="1" s="1"/>
  <c r="O1400" i="1" a="1"/>
  <c r="O1400" i="1" s="1"/>
  <c r="O1399" i="1" a="1"/>
  <c r="O1399" i="1" s="1"/>
  <c r="O1398" i="1" a="1"/>
  <c r="O1398" i="1" s="1"/>
  <c r="O1397" i="1" a="1"/>
  <c r="O1397" i="1" s="1"/>
  <c r="O1396" i="1" a="1"/>
  <c r="O1396" i="1" s="1"/>
  <c r="O1395" i="1" a="1"/>
  <c r="O1395" i="1" s="1"/>
  <c r="O1394" i="1" a="1"/>
  <c r="O1394" i="1" s="1"/>
  <c r="O1393" i="1" a="1"/>
  <c r="O1393" i="1" s="1"/>
  <c r="O1392" i="1" a="1"/>
  <c r="O1392" i="1" s="1"/>
  <c r="O1391" i="1" a="1"/>
  <c r="O1391" i="1" s="1"/>
  <c r="O1390" i="1" a="1"/>
  <c r="O1390" i="1" s="1"/>
  <c r="O1389" i="1" a="1"/>
  <c r="O1389" i="1" s="1"/>
  <c r="O1388" i="1" a="1"/>
  <c r="O1388" i="1" s="1"/>
  <c r="O1387" i="1" a="1"/>
  <c r="O1387" i="1" s="1"/>
  <c r="O1386" i="1" a="1"/>
  <c r="O1386" i="1" s="1"/>
  <c r="O1385" i="1" a="1"/>
  <c r="O1385" i="1" s="1"/>
  <c r="O1384" i="1" a="1"/>
  <c r="O1384" i="1" s="1"/>
  <c r="O1383" i="1" a="1"/>
  <c r="O1383" i="1" s="1"/>
  <c r="O1382" i="1" a="1"/>
  <c r="O1382" i="1" s="1"/>
  <c r="O1381" i="1" a="1"/>
  <c r="O1381" i="1" s="1"/>
  <c r="O1380" i="1" a="1"/>
  <c r="O1380" i="1" s="1"/>
  <c r="O1379" i="1" a="1"/>
  <c r="O1379" i="1" s="1"/>
  <c r="O1378" i="1" a="1"/>
  <c r="O1378" i="1" s="1"/>
  <c r="O1377" i="1" a="1"/>
  <c r="O1377" i="1" s="1"/>
  <c r="O1376" i="1" a="1"/>
  <c r="O1376" i="1" s="1"/>
  <c r="O1375" i="1" a="1"/>
  <c r="O1375" i="1" s="1"/>
  <c r="O1374" i="1" a="1"/>
  <c r="O1374" i="1" s="1"/>
  <c r="O1373" i="1" a="1"/>
  <c r="O1373" i="1" s="1"/>
  <c r="O1372" i="1" a="1"/>
  <c r="O1372" i="1" s="1"/>
  <c r="O1371" i="1" a="1"/>
  <c r="O1371" i="1" s="1"/>
  <c r="O1370" i="1" a="1"/>
  <c r="O1370" i="1" s="1"/>
  <c r="O1369" i="1" a="1"/>
  <c r="O1369" i="1" s="1"/>
  <c r="O1368" i="1" a="1"/>
  <c r="O1368" i="1" s="1"/>
  <c r="O1367" i="1" a="1"/>
  <c r="O1367" i="1" s="1"/>
  <c r="O1366" i="1" a="1"/>
  <c r="O1366" i="1" s="1"/>
  <c r="O1365" i="1" a="1"/>
  <c r="O1365" i="1" s="1"/>
  <c r="O1364" i="1" a="1"/>
  <c r="O1364" i="1" s="1"/>
  <c r="O1363" i="1" a="1"/>
  <c r="O1363" i="1" s="1"/>
  <c r="O1362" i="1" a="1"/>
  <c r="O1362" i="1" s="1"/>
  <c r="O1361" i="1" a="1"/>
  <c r="O1361" i="1" s="1"/>
  <c r="O1360" i="1" a="1"/>
  <c r="O1360" i="1" s="1"/>
  <c r="O1359" i="1" a="1"/>
  <c r="O1359" i="1" s="1"/>
  <c r="O1358" i="1" a="1"/>
  <c r="O1358" i="1" s="1"/>
  <c r="O1357" i="1" a="1"/>
  <c r="O1357" i="1" s="1"/>
  <c r="O1356" i="1" a="1"/>
  <c r="O1356" i="1" s="1"/>
  <c r="O1355" i="1" a="1"/>
  <c r="O1355" i="1" s="1"/>
  <c r="O1354" i="1" a="1"/>
  <c r="O1354" i="1" s="1"/>
  <c r="O1353" i="1" a="1"/>
  <c r="O1353" i="1" s="1"/>
  <c r="O1352" i="1" a="1"/>
  <c r="O1352" i="1" s="1"/>
  <c r="O1351" i="1" a="1"/>
  <c r="O1351" i="1" s="1"/>
  <c r="O1350" i="1" a="1"/>
  <c r="O1350" i="1" s="1"/>
  <c r="O1349" i="1" a="1"/>
  <c r="O1349" i="1" s="1"/>
  <c r="O1348" i="1" a="1"/>
  <c r="O1348" i="1" s="1"/>
  <c r="O1347" i="1" a="1"/>
  <c r="O1347" i="1" s="1"/>
  <c r="O1346" i="1" a="1"/>
  <c r="O1346" i="1" s="1"/>
  <c r="O1345" i="1" a="1"/>
  <c r="O1345" i="1" s="1"/>
  <c r="O1344" i="1" a="1"/>
  <c r="O1344" i="1" s="1"/>
  <c r="O1343" i="1" a="1"/>
  <c r="O1343" i="1" s="1"/>
  <c r="O1342" i="1" a="1"/>
  <c r="O1342" i="1" s="1"/>
  <c r="O1341" i="1" a="1"/>
  <c r="O1341" i="1" s="1"/>
  <c r="O1340" i="1" a="1"/>
  <c r="O1340" i="1" s="1"/>
  <c r="O1339" i="1" a="1"/>
  <c r="O1339" i="1" s="1"/>
  <c r="O1338" i="1" a="1"/>
  <c r="O1338" i="1" s="1"/>
  <c r="O1337" i="1" a="1"/>
  <c r="O1337" i="1" s="1"/>
  <c r="O1336" i="1" a="1"/>
  <c r="O1336" i="1" s="1"/>
  <c r="O1335" i="1" a="1"/>
  <c r="O1335" i="1" s="1"/>
  <c r="O1334" i="1" a="1"/>
  <c r="O1334" i="1" s="1"/>
  <c r="O1333" i="1" a="1"/>
  <c r="O1333" i="1" s="1"/>
  <c r="O1332" i="1" a="1"/>
  <c r="O1332" i="1" s="1"/>
  <c r="O1331" i="1" a="1"/>
  <c r="O1331" i="1" s="1"/>
  <c r="O1330" i="1" a="1"/>
  <c r="O1330" i="1" s="1"/>
  <c r="O1329" i="1" a="1"/>
  <c r="O1329" i="1" s="1"/>
  <c r="O1328" i="1" a="1"/>
  <c r="O1328" i="1" s="1"/>
  <c r="O1327" i="1" a="1"/>
  <c r="O1327" i="1" s="1"/>
  <c r="O1326" i="1" a="1"/>
  <c r="O1326" i="1" s="1"/>
  <c r="O1325" i="1" a="1"/>
  <c r="O1325" i="1" s="1"/>
  <c r="O1324" i="1" a="1"/>
  <c r="O1324" i="1" s="1"/>
  <c r="O1323" i="1" a="1"/>
  <c r="O1323" i="1" s="1"/>
  <c r="O1322" i="1" a="1"/>
  <c r="O1322" i="1" s="1"/>
  <c r="O1321" i="1" a="1"/>
  <c r="O1321" i="1" s="1"/>
  <c r="O1320" i="1" a="1"/>
  <c r="O1320" i="1" s="1"/>
  <c r="O1319" i="1" a="1"/>
  <c r="O1319" i="1" s="1"/>
  <c r="O1318" i="1" a="1"/>
  <c r="O1318" i="1" s="1"/>
  <c r="O1317" i="1" a="1"/>
  <c r="O1317" i="1" s="1"/>
  <c r="O1316" i="1" a="1"/>
  <c r="O1316" i="1" s="1"/>
  <c r="O1315" i="1" a="1"/>
  <c r="O1315" i="1" s="1"/>
  <c r="O1314" i="1" a="1"/>
  <c r="O1314" i="1" s="1"/>
  <c r="O1313" i="1" a="1"/>
  <c r="O1313" i="1" s="1"/>
  <c r="O1312" i="1" a="1"/>
  <c r="O1312" i="1" s="1"/>
  <c r="O1311" i="1" a="1"/>
  <c r="O1311" i="1" s="1"/>
  <c r="O1310" i="1" a="1"/>
  <c r="O1310" i="1" s="1"/>
  <c r="O1309" i="1" a="1"/>
  <c r="O1309" i="1" s="1"/>
  <c r="O1308" i="1" a="1"/>
  <c r="O1308" i="1" s="1"/>
  <c r="O1307" i="1" a="1"/>
  <c r="O1307" i="1" s="1"/>
  <c r="O1306" i="1" a="1"/>
  <c r="O1306" i="1" s="1"/>
  <c r="O1305" i="1" a="1"/>
  <c r="O1305" i="1" s="1"/>
  <c r="O1304" i="1" a="1"/>
  <c r="O1304" i="1" s="1"/>
  <c r="O1303" i="1" a="1"/>
  <c r="O1303" i="1" s="1"/>
  <c r="O1302" i="1" a="1"/>
  <c r="O1302" i="1" s="1"/>
  <c r="O1301" i="1" a="1"/>
  <c r="O1301" i="1" s="1"/>
  <c r="O1300" i="1" a="1"/>
  <c r="O1300" i="1" s="1"/>
  <c r="O1299" i="1" a="1"/>
  <c r="O1299" i="1" s="1"/>
  <c r="O1298" i="1" a="1"/>
  <c r="O1298" i="1" s="1"/>
  <c r="O1297" i="1" a="1"/>
  <c r="O1297" i="1" s="1"/>
  <c r="O1296" i="1" a="1"/>
  <c r="O1296" i="1" s="1"/>
  <c r="O1295" i="1" a="1"/>
  <c r="O1295" i="1" s="1"/>
  <c r="O1294" i="1" a="1"/>
  <c r="O1294" i="1" s="1"/>
  <c r="O1293" i="1" a="1"/>
  <c r="O1293" i="1" s="1"/>
  <c r="O1292" i="1" a="1"/>
  <c r="O1292" i="1" s="1"/>
  <c r="O1291" i="1" a="1"/>
  <c r="O1291" i="1" s="1"/>
  <c r="O1290" i="1" a="1"/>
  <c r="O1290" i="1" s="1"/>
  <c r="O1289" i="1" a="1"/>
  <c r="O1289" i="1" s="1"/>
  <c r="O1288" i="1" a="1"/>
  <c r="O1288" i="1" s="1"/>
  <c r="O1287" i="1" a="1"/>
  <c r="O1287" i="1" s="1"/>
  <c r="O1286" i="1" a="1"/>
  <c r="O1286" i="1" s="1"/>
  <c r="O1285" i="1" a="1"/>
  <c r="O1285" i="1" s="1"/>
  <c r="O1284" i="1" a="1"/>
  <c r="O1284" i="1" s="1"/>
  <c r="O1283" i="1" a="1"/>
  <c r="O1283" i="1" s="1"/>
  <c r="O1282" i="1" a="1"/>
  <c r="O1282" i="1" s="1"/>
  <c r="O1281" i="1" a="1"/>
  <c r="O1281" i="1" s="1"/>
  <c r="O1280" i="1" a="1"/>
  <c r="O1280" i="1" s="1"/>
  <c r="O1279" i="1" a="1"/>
  <c r="O1279" i="1" s="1"/>
  <c r="O1278" i="1" a="1"/>
  <c r="O1278" i="1" s="1"/>
  <c r="O1277" i="1" a="1"/>
  <c r="O1277" i="1" s="1"/>
  <c r="O1276" i="1" a="1"/>
  <c r="O1276" i="1" s="1"/>
  <c r="O1275" i="1" a="1"/>
  <c r="O1275" i="1" s="1"/>
  <c r="O1274" i="1" a="1"/>
  <c r="O1274" i="1" s="1"/>
  <c r="O1273" i="1" a="1"/>
  <c r="O1273" i="1" s="1"/>
  <c r="O1272" i="1" a="1"/>
  <c r="O1272" i="1" s="1"/>
  <c r="O1271" i="1" a="1"/>
  <c r="O1271" i="1" s="1"/>
  <c r="O1270" i="1" a="1"/>
  <c r="O1270" i="1" s="1"/>
  <c r="O1269" i="1" a="1"/>
  <c r="O1269" i="1" s="1"/>
  <c r="O1268" i="1" a="1"/>
  <c r="O1268" i="1" s="1"/>
  <c r="O1267" i="1" a="1"/>
  <c r="O1267" i="1" s="1"/>
  <c r="O1266" i="1" a="1"/>
  <c r="O1266" i="1" s="1"/>
  <c r="O1265" i="1" a="1"/>
  <c r="O1265" i="1" s="1"/>
  <c r="O1264" i="1" a="1"/>
  <c r="O1264" i="1" s="1"/>
  <c r="O1263" i="1" a="1"/>
  <c r="O1263" i="1" s="1"/>
  <c r="O1262" i="1" a="1"/>
  <c r="O1262" i="1" s="1"/>
  <c r="O1261" i="1" a="1"/>
  <c r="O1261" i="1" s="1"/>
  <c r="O1260" i="1" a="1"/>
  <c r="O1260" i="1" s="1"/>
  <c r="O1259" i="1" a="1"/>
  <c r="O1259" i="1" s="1"/>
  <c r="O1258" i="1" a="1"/>
  <c r="O1258" i="1" s="1"/>
  <c r="O1257" i="1" a="1"/>
  <c r="O1257" i="1" s="1"/>
  <c r="O1256" i="1" a="1"/>
  <c r="O1256" i="1" s="1"/>
  <c r="O1255" i="1" a="1"/>
  <c r="O1255" i="1" s="1"/>
  <c r="O1254" i="1" a="1"/>
  <c r="O1254" i="1" s="1"/>
  <c r="O1253" i="1" a="1"/>
  <c r="O1253" i="1" s="1"/>
  <c r="O1252" i="1" a="1"/>
  <c r="O1252" i="1" s="1"/>
  <c r="O1251" i="1" a="1"/>
  <c r="O1251" i="1" s="1"/>
  <c r="O1250" i="1" a="1"/>
  <c r="O1250" i="1" s="1"/>
  <c r="O1249" i="1" a="1"/>
  <c r="O1249" i="1" s="1"/>
  <c r="O1248" i="1" a="1"/>
  <c r="O1248" i="1" s="1"/>
  <c r="O1247" i="1" a="1"/>
  <c r="O1247" i="1" s="1"/>
  <c r="O1246" i="1" a="1"/>
  <c r="O1246" i="1" s="1"/>
  <c r="O1245" i="1" a="1"/>
  <c r="O1245" i="1" s="1"/>
  <c r="O1244" i="1" a="1"/>
  <c r="O1244" i="1" s="1"/>
  <c r="O1243" i="1" a="1"/>
  <c r="O1243" i="1" s="1"/>
  <c r="O1242" i="1" a="1"/>
  <c r="O1242" i="1" s="1"/>
  <c r="O1241" i="1" a="1"/>
  <c r="O1241" i="1" s="1"/>
  <c r="O1240" i="1" a="1"/>
  <c r="O1240" i="1" s="1"/>
  <c r="O1239" i="1" a="1"/>
  <c r="O1239" i="1" s="1"/>
  <c r="O1238" i="1" a="1"/>
  <c r="O1238" i="1" s="1"/>
  <c r="O1237" i="1" a="1"/>
  <c r="O1237" i="1" s="1"/>
  <c r="O1236" i="1" a="1"/>
  <c r="O1236" i="1" s="1"/>
  <c r="O1235" i="1" a="1"/>
  <c r="O1235" i="1" s="1"/>
  <c r="O1234" i="1" a="1"/>
  <c r="O1234" i="1" s="1"/>
  <c r="O1233" i="1" a="1"/>
  <c r="O1233" i="1" s="1"/>
  <c r="O1232" i="1" a="1"/>
  <c r="O1232" i="1" s="1"/>
  <c r="O1231" i="1" a="1"/>
  <c r="O1231" i="1" s="1"/>
  <c r="O1230" i="1" a="1"/>
  <c r="O1230" i="1" s="1"/>
  <c r="O1229" i="1" a="1"/>
  <c r="O1229" i="1" s="1"/>
  <c r="O1228" i="1" a="1"/>
  <c r="O1228" i="1" s="1"/>
  <c r="O1227" i="1" a="1"/>
  <c r="O1227" i="1" s="1"/>
  <c r="O1226" i="1" a="1"/>
  <c r="O1226" i="1" s="1"/>
  <c r="O1225" i="1" a="1"/>
  <c r="O1225" i="1" s="1"/>
  <c r="O1224" i="1" a="1"/>
  <c r="O1224" i="1" s="1"/>
  <c r="O1223" i="1" a="1"/>
  <c r="O1223" i="1" s="1"/>
  <c r="O1222" i="1" a="1"/>
  <c r="O1222" i="1" s="1"/>
  <c r="O1221" i="1" a="1"/>
  <c r="O1221" i="1" s="1"/>
  <c r="O1220" i="1" a="1"/>
  <c r="O1220" i="1" s="1"/>
  <c r="O1219" i="1" a="1"/>
  <c r="O1219" i="1" s="1"/>
  <c r="O1218" i="1" a="1"/>
  <c r="O1218" i="1" s="1"/>
  <c r="O1217" i="1" a="1"/>
  <c r="O1217" i="1" s="1"/>
  <c r="O1216" i="1" a="1"/>
  <c r="O1216" i="1" s="1"/>
  <c r="O1215" i="1" a="1"/>
  <c r="O1215" i="1" s="1"/>
  <c r="O1214" i="1" a="1"/>
  <c r="O1214" i="1" s="1"/>
  <c r="O1213" i="1" a="1"/>
  <c r="O1213" i="1" s="1"/>
  <c r="O1212" i="1" a="1"/>
  <c r="O1212" i="1" s="1"/>
  <c r="O1211" i="1" a="1"/>
  <c r="O1211" i="1" s="1"/>
  <c r="O1210" i="1" a="1"/>
  <c r="O1210" i="1" s="1"/>
  <c r="O1209" i="1" a="1"/>
  <c r="O1209" i="1" s="1"/>
  <c r="O1208" i="1" a="1"/>
  <c r="O1208" i="1" s="1"/>
  <c r="O1207" i="1" a="1"/>
  <c r="O1207" i="1" s="1"/>
  <c r="O1206" i="1" a="1"/>
  <c r="O1206" i="1" s="1"/>
  <c r="O1205" i="1" a="1"/>
  <c r="O1205" i="1" s="1"/>
  <c r="O1204" i="1" a="1"/>
  <c r="O1204" i="1" s="1"/>
  <c r="O1203" i="1" a="1"/>
  <c r="O1203" i="1" s="1"/>
  <c r="O1202" i="1" a="1"/>
  <c r="O1202" i="1" s="1"/>
  <c r="O1201" i="1" a="1"/>
  <c r="O1201" i="1" s="1"/>
  <c r="O1200" i="1" a="1"/>
  <c r="O1200" i="1" s="1"/>
  <c r="O1199" i="1" a="1"/>
  <c r="O1199" i="1" s="1"/>
  <c r="O1198" i="1" a="1"/>
  <c r="O1198" i="1" s="1"/>
  <c r="O1197" i="1" a="1"/>
  <c r="O1197" i="1" s="1"/>
  <c r="O1196" i="1" a="1"/>
  <c r="O1196" i="1" s="1"/>
  <c r="O1195" i="1" a="1"/>
  <c r="O1195" i="1" s="1"/>
  <c r="O1194" i="1" a="1"/>
  <c r="O1194" i="1" s="1"/>
  <c r="O1193" i="1" a="1"/>
  <c r="O1193" i="1" s="1"/>
  <c r="O1192" i="1" a="1"/>
  <c r="O1192" i="1" s="1"/>
  <c r="O1191" i="1" a="1"/>
  <c r="O1191" i="1" s="1"/>
  <c r="O1190" i="1" a="1"/>
  <c r="O1190" i="1" s="1"/>
  <c r="O1189" i="1" a="1"/>
  <c r="O1189" i="1" s="1"/>
  <c r="O1188" i="1" a="1"/>
  <c r="O1188" i="1" s="1"/>
  <c r="O1187" i="1" a="1"/>
  <c r="O1187" i="1" s="1"/>
  <c r="O1186" i="1" a="1"/>
  <c r="O1186" i="1" s="1"/>
  <c r="O1185" i="1" a="1"/>
  <c r="O1185" i="1" s="1"/>
  <c r="O1184" i="1" a="1"/>
  <c r="O1184" i="1" s="1"/>
  <c r="O1183" i="1" a="1"/>
  <c r="O1183" i="1" s="1"/>
  <c r="O1182" i="1" a="1"/>
  <c r="O1182" i="1" s="1"/>
  <c r="O1181" i="1" a="1"/>
  <c r="O1181" i="1" s="1"/>
  <c r="O1180" i="1" a="1"/>
  <c r="O1180" i="1" s="1"/>
  <c r="O1179" i="1" a="1"/>
  <c r="O1179" i="1" s="1"/>
  <c r="O1178" i="1" a="1"/>
  <c r="O1178" i="1" s="1"/>
  <c r="O1177" i="1" a="1"/>
  <c r="O1177" i="1" s="1"/>
  <c r="O1176" i="1" a="1"/>
  <c r="O1176" i="1" s="1"/>
  <c r="O1175" i="1" a="1"/>
  <c r="O1175" i="1" s="1"/>
  <c r="O1174" i="1" a="1"/>
  <c r="O1174" i="1" s="1"/>
  <c r="O1173" i="1" a="1"/>
  <c r="O1173" i="1" s="1"/>
  <c r="O1172" i="1" a="1"/>
  <c r="O1172" i="1" s="1"/>
  <c r="O1171" i="1" a="1"/>
  <c r="O1171" i="1" s="1"/>
  <c r="O1170" i="1" a="1"/>
  <c r="O1170" i="1" s="1"/>
  <c r="O1169" i="1" a="1"/>
  <c r="O1169" i="1" s="1"/>
  <c r="O1168" i="1" a="1"/>
  <c r="O1168" i="1" s="1"/>
  <c r="O1167" i="1" a="1"/>
  <c r="O1167" i="1" s="1"/>
  <c r="O1166" i="1" a="1"/>
  <c r="O1166" i="1" s="1"/>
  <c r="O1165" i="1" a="1"/>
  <c r="O1165" i="1" s="1"/>
  <c r="O1164" i="1" a="1"/>
  <c r="O1164" i="1" s="1"/>
  <c r="O1163" i="1" a="1"/>
  <c r="O1163" i="1" s="1"/>
  <c r="O1162" i="1" a="1"/>
  <c r="O1162" i="1" s="1"/>
  <c r="O1161" i="1" a="1"/>
  <c r="O1161" i="1" s="1"/>
  <c r="O1160" i="1" a="1"/>
  <c r="O1160" i="1" s="1"/>
  <c r="O1159" i="1" a="1"/>
  <c r="O1159" i="1" s="1"/>
  <c r="O1158" i="1" a="1"/>
  <c r="O1158" i="1" s="1"/>
  <c r="O1157" i="1" a="1"/>
  <c r="O1157" i="1" s="1"/>
  <c r="O1156" i="1" a="1"/>
  <c r="O1156" i="1" s="1"/>
  <c r="O1155" i="1" a="1"/>
  <c r="O1155" i="1" s="1"/>
  <c r="O1154" i="1" a="1"/>
  <c r="O1154" i="1" s="1"/>
  <c r="O1153" i="1" a="1"/>
  <c r="O1153" i="1" s="1"/>
  <c r="O1152" i="1" a="1"/>
  <c r="O1152" i="1" s="1"/>
  <c r="O1151" i="1" a="1"/>
  <c r="O1151" i="1" s="1"/>
  <c r="O1150" i="1" a="1"/>
  <c r="O1150" i="1" s="1"/>
  <c r="O1149" i="1" a="1"/>
  <c r="O1149" i="1" s="1"/>
  <c r="O1148" i="1" a="1"/>
  <c r="O1148" i="1" s="1"/>
  <c r="O1147" i="1" a="1"/>
  <c r="O1147" i="1" s="1"/>
  <c r="O1146" i="1" a="1"/>
  <c r="O1146" i="1" s="1"/>
  <c r="O1145" i="1" a="1"/>
  <c r="O1145" i="1" s="1"/>
  <c r="O1144" i="1" a="1"/>
  <c r="O1144" i="1" s="1"/>
  <c r="O1143" i="1" a="1"/>
  <c r="O1143" i="1" s="1"/>
  <c r="O1142" i="1" a="1"/>
  <c r="O1142" i="1" s="1"/>
  <c r="O1141" i="1" a="1"/>
  <c r="O1141" i="1" s="1"/>
  <c r="O1140" i="1" a="1"/>
  <c r="O1140" i="1" s="1"/>
  <c r="O1139" i="1" a="1"/>
  <c r="O1139" i="1" s="1"/>
  <c r="O1138" i="1" a="1"/>
  <c r="O1138" i="1" s="1"/>
  <c r="O1137" i="1" a="1"/>
  <c r="O1137" i="1" s="1"/>
  <c r="O1136" i="1" a="1"/>
  <c r="O1136" i="1" s="1"/>
  <c r="O1135" i="1" a="1"/>
  <c r="O1135" i="1" s="1"/>
  <c r="O1134" i="1" a="1"/>
  <c r="O1134" i="1" s="1"/>
  <c r="O1133" i="1" a="1"/>
  <c r="O1133" i="1" s="1"/>
  <c r="O1132" i="1" a="1"/>
  <c r="O1132" i="1" s="1"/>
  <c r="O1131" i="1" a="1"/>
  <c r="O1131" i="1" s="1"/>
  <c r="O1130" i="1" a="1"/>
  <c r="O1130" i="1" s="1"/>
  <c r="O1129" i="1" a="1"/>
  <c r="O1129" i="1" s="1"/>
  <c r="O1128" i="1" a="1"/>
  <c r="O1128" i="1" s="1"/>
  <c r="O1127" i="1" a="1"/>
  <c r="O1127" i="1" s="1"/>
  <c r="O1126" i="1" a="1"/>
  <c r="O1126" i="1" s="1"/>
  <c r="O1125" i="1" a="1"/>
  <c r="O1125" i="1" s="1"/>
  <c r="O1124" i="1" a="1"/>
  <c r="O1124" i="1" s="1"/>
  <c r="O1123" i="1" a="1"/>
  <c r="O1123" i="1" s="1"/>
  <c r="O1122" i="1" a="1"/>
  <c r="O1122" i="1" s="1"/>
  <c r="O1121" i="1" a="1"/>
  <c r="O1121" i="1" s="1"/>
  <c r="O1120" i="1" a="1"/>
  <c r="O1120" i="1" s="1"/>
  <c r="O1119" i="1" a="1"/>
  <c r="O1119" i="1" s="1"/>
  <c r="O1118" i="1" a="1"/>
  <c r="O1118" i="1" s="1"/>
  <c r="O1117" i="1" a="1"/>
  <c r="O1117" i="1" s="1"/>
  <c r="O1116" i="1" a="1"/>
  <c r="O1116" i="1" s="1"/>
  <c r="O1115" i="1" a="1"/>
  <c r="O1115" i="1" s="1"/>
  <c r="O1114" i="1" a="1"/>
  <c r="O1114" i="1" s="1"/>
  <c r="O1113" i="1" a="1"/>
  <c r="O1113" i="1" s="1"/>
  <c r="O1112" i="1" a="1"/>
  <c r="O1112" i="1" s="1"/>
  <c r="O1111" i="1" a="1"/>
  <c r="O1111" i="1" s="1"/>
  <c r="O1110" i="1" a="1"/>
  <c r="O1110" i="1" s="1"/>
  <c r="O1109" i="1" a="1"/>
  <c r="O1109" i="1" s="1"/>
  <c r="O1108" i="1" a="1"/>
  <c r="O1108" i="1" s="1"/>
  <c r="O1107" i="1" a="1"/>
  <c r="O1107" i="1" s="1"/>
  <c r="O1106" i="1" a="1"/>
  <c r="O1106" i="1" s="1"/>
  <c r="O1105" i="1" a="1"/>
  <c r="O1105" i="1" s="1"/>
  <c r="O1104" i="1" a="1"/>
  <c r="O1104" i="1" s="1"/>
  <c r="O1103" i="1" a="1"/>
  <c r="O1103" i="1" s="1"/>
  <c r="O1102" i="1" a="1"/>
  <c r="O1102" i="1" s="1"/>
  <c r="O1101" i="1" a="1"/>
  <c r="O1101" i="1" s="1"/>
  <c r="O1100" i="1" a="1"/>
  <c r="O1100" i="1" s="1"/>
  <c r="O1099" i="1" a="1"/>
  <c r="O1099" i="1" s="1"/>
  <c r="O1098" i="1" a="1"/>
  <c r="O1098" i="1" s="1"/>
  <c r="O1097" i="1" a="1"/>
  <c r="O1097" i="1" s="1"/>
  <c r="O1096" i="1" a="1"/>
  <c r="O1096" i="1" s="1"/>
  <c r="O1095" i="1" a="1"/>
  <c r="O1095" i="1" s="1"/>
  <c r="O1094" i="1" a="1"/>
  <c r="O1094" i="1" s="1"/>
  <c r="O1093" i="1" a="1"/>
  <c r="O1093" i="1" s="1"/>
  <c r="O1092" i="1" a="1"/>
  <c r="O1092" i="1" s="1"/>
  <c r="O1091" i="1" a="1"/>
  <c r="O1091" i="1" s="1"/>
  <c r="O1090" i="1" a="1"/>
  <c r="O1090" i="1" s="1"/>
  <c r="O1089" i="1" a="1"/>
  <c r="O1089" i="1" s="1"/>
  <c r="O1088" i="1" a="1"/>
  <c r="O1088" i="1" s="1"/>
  <c r="O1087" i="1" a="1"/>
  <c r="O1087" i="1" s="1"/>
  <c r="O1086" i="1" a="1"/>
  <c r="O1086" i="1" s="1"/>
  <c r="O1085" i="1" a="1"/>
  <c r="O1085" i="1" s="1"/>
  <c r="O1084" i="1" a="1"/>
  <c r="O1084" i="1" s="1"/>
  <c r="O1083" i="1" a="1"/>
  <c r="O1083" i="1" s="1"/>
  <c r="O1082" i="1" a="1"/>
  <c r="O1082" i="1" s="1"/>
  <c r="O1081" i="1" a="1"/>
  <c r="O1081" i="1" s="1"/>
  <c r="O1080" i="1" a="1"/>
  <c r="O1080" i="1" s="1"/>
  <c r="O1079" i="1" a="1"/>
  <c r="O1079" i="1" s="1"/>
  <c r="O1078" i="1" a="1"/>
  <c r="O1078" i="1" s="1"/>
  <c r="O1077" i="1" a="1"/>
  <c r="O1077" i="1" s="1"/>
  <c r="O1076" i="1" a="1"/>
  <c r="O1076" i="1" s="1"/>
  <c r="O1075" i="1" a="1"/>
  <c r="O1075" i="1" s="1"/>
  <c r="O1074" i="1" a="1"/>
  <c r="O1074" i="1" s="1"/>
  <c r="O1073" i="1" a="1"/>
  <c r="O1073" i="1" s="1"/>
  <c r="O1072" i="1" a="1"/>
  <c r="O1072" i="1" s="1"/>
  <c r="O1071" i="1" a="1"/>
  <c r="O1071" i="1" s="1"/>
  <c r="O1070" i="1" a="1"/>
  <c r="O1070" i="1" s="1"/>
  <c r="O1069" i="1" a="1"/>
  <c r="O1069" i="1" s="1"/>
  <c r="O1068" i="1" a="1"/>
  <c r="O1068" i="1" s="1"/>
  <c r="O1067" i="1" a="1"/>
  <c r="O1067" i="1" s="1"/>
  <c r="O1066" i="1" a="1"/>
  <c r="O1066" i="1" s="1"/>
  <c r="O1065" i="1" a="1"/>
  <c r="O1065" i="1" s="1"/>
  <c r="O1064" i="1" a="1"/>
  <c r="O1064" i="1" s="1"/>
  <c r="O1063" i="1" a="1"/>
  <c r="O1063" i="1" s="1"/>
  <c r="O1062" i="1" a="1"/>
  <c r="O1062" i="1" s="1"/>
  <c r="O1061" i="1" a="1"/>
  <c r="O1061" i="1" s="1"/>
  <c r="O1060" i="1" a="1"/>
  <c r="O1060" i="1" s="1"/>
  <c r="O1059" i="1" a="1"/>
  <c r="O1059" i="1" s="1"/>
  <c r="O1058" i="1" a="1"/>
  <c r="O1058" i="1" s="1"/>
  <c r="O1057" i="1" a="1"/>
  <c r="O1057" i="1" s="1"/>
  <c r="O1056" i="1" a="1"/>
  <c r="O1056" i="1" s="1"/>
  <c r="O1055" i="1" a="1"/>
  <c r="O1055" i="1" s="1"/>
  <c r="O1054" i="1" a="1"/>
  <c r="O1054" i="1" s="1"/>
  <c r="O1053" i="1" a="1"/>
  <c r="O1053" i="1" s="1"/>
  <c r="O1052" i="1" a="1"/>
  <c r="O1052" i="1" s="1"/>
  <c r="O1051" i="1" a="1"/>
  <c r="O1051" i="1" s="1"/>
  <c r="O1050" i="1" a="1"/>
  <c r="O1050" i="1" s="1"/>
  <c r="O1049" i="1" a="1"/>
  <c r="O1049" i="1" s="1"/>
  <c r="O1048" i="1" a="1"/>
  <c r="O1048" i="1" s="1"/>
  <c r="O1047" i="1" a="1"/>
  <c r="O1047" i="1" s="1"/>
  <c r="O1046" i="1" a="1"/>
  <c r="O1046" i="1" s="1"/>
  <c r="O1045" i="1" a="1"/>
  <c r="O1045" i="1" s="1"/>
  <c r="O1044" i="1" a="1"/>
  <c r="O1044" i="1" s="1"/>
  <c r="O1043" i="1" a="1"/>
  <c r="O1043" i="1" s="1"/>
  <c r="O1042" i="1" a="1"/>
  <c r="O1042" i="1" s="1"/>
  <c r="O1041" i="1" a="1"/>
  <c r="O1041" i="1" s="1"/>
  <c r="O1040" i="1" a="1"/>
  <c r="O1040" i="1" s="1"/>
  <c r="O1039" i="1" a="1"/>
  <c r="O1039" i="1" s="1"/>
  <c r="O1038" i="1" a="1"/>
  <c r="O1038" i="1" s="1"/>
  <c r="O1037" i="1" a="1"/>
  <c r="O1037" i="1" s="1"/>
  <c r="O1036" i="1" a="1"/>
  <c r="O1036" i="1" s="1"/>
  <c r="O1035" i="1" a="1"/>
  <c r="O1035" i="1" s="1"/>
  <c r="O1034" i="1" a="1"/>
  <c r="O1034" i="1" s="1"/>
  <c r="O1033" i="1" a="1"/>
  <c r="O1033" i="1" s="1"/>
  <c r="O1032" i="1" a="1"/>
  <c r="O1032" i="1" s="1"/>
  <c r="O1031" i="1" a="1"/>
  <c r="O1031" i="1" s="1"/>
  <c r="O1030" i="1" a="1"/>
  <c r="O1030" i="1" s="1"/>
  <c r="O1029" i="1" a="1"/>
  <c r="O1029" i="1" s="1"/>
  <c r="O1028" i="1" a="1"/>
  <c r="O1028" i="1" s="1"/>
  <c r="O1027" i="1" a="1"/>
  <c r="O1027" i="1" s="1"/>
  <c r="O1026" i="1" a="1"/>
  <c r="O1026" i="1" s="1"/>
  <c r="O1025" i="1" a="1"/>
  <c r="O1025" i="1" s="1"/>
  <c r="O1024" i="1" a="1"/>
  <c r="O1024" i="1" s="1"/>
  <c r="O1023" i="1" a="1"/>
  <c r="O1023" i="1" s="1"/>
  <c r="O1022" i="1" a="1"/>
  <c r="O1022" i="1" s="1"/>
  <c r="O1021" i="1" a="1"/>
  <c r="O1021" i="1" s="1"/>
  <c r="O1020" i="1" a="1"/>
  <c r="O1020" i="1" s="1"/>
  <c r="O1019" i="1" a="1"/>
  <c r="O1019" i="1" s="1"/>
  <c r="O1018" i="1" a="1"/>
  <c r="O1018" i="1" s="1"/>
  <c r="O1017" i="1" a="1"/>
  <c r="O1017" i="1" s="1"/>
  <c r="O1016" i="1" a="1"/>
  <c r="O1016" i="1" s="1"/>
  <c r="O1015" i="1" a="1"/>
  <c r="O1015" i="1" s="1"/>
  <c r="O1014" i="1" a="1"/>
  <c r="O1014" i="1" s="1"/>
  <c r="O1013" i="1" a="1"/>
  <c r="O1013" i="1" s="1"/>
  <c r="O1012" i="1" a="1"/>
  <c r="O1012" i="1" s="1"/>
  <c r="O1011" i="1" a="1"/>
  <c r="O1011" i="1" s="1"/>
  <c r="O1010" i="1" a="1"/>
  <c r="O1010" i="1" s="1"/>
  <c r="O1009" i="1" a="1"/>
  <c r="O1009" i="1" s="1"/>
  <c r="O1008" i="1" a="1"/>
  <c r="O1008" i="1" s="1"/>
  <c r="O1007" i="1" a="1"/>
  <c r="O1007" i="1" s="1"/>
  <c r="O1006" i="1" a="1"/>
  <c r="O1006" i="1" s="1"/>
  <c r="O1005" i="1" a="1"/>
  <c r="O1005" i="1" s="1"/>
  <c r="O1004" i="1" a="1"/>
  <c r="O1004" i="1" s="1"/>
  <c r="O1003" i="1" a="1"/>
  <c r="O1003" i="1" s="1"/>
  <c r="O1002" i="1" a="1"/>
  <c r="O1002" i="1" s="1"/>
  <c r="O1001" i="1" a="1"/>
  <c r="O1001" i="1" s="1"/>
  <c r="O1000" i="1" a="1"/>
  <c r="O1000" i="1" s="1"/>
  <c r="O999" i="1" a="1"/>
  <c r="O999" i="1" s="1"/>
  <c r="O998" i="1" a="1"/>
  <c r="O998" i="1" s="1"/>
  <c r="O997" i="1" a="1"/>
  <c r="O997" i="1" s="1"/>
  <c r="O996" i="1" a="1"/>
  <c r="O996" i="1" s="1"/>
  <c r="O995" i="1" a="1"/>
  <c r="O995" i="1" s="1"/>
  <c r="O994" i="1" a="1"/>
  <c r="O994" i="1" s="1"/>
  <c r="O993" i="1" a="1"/>
  <c r="O993" i="1" s="1"/>
  <c r="O992" i="1" a="1"/>
  <c r="O992" i="1" s="1"/>
  <c r="O991" i="1" a="1"/>
  <c r="O991" i="1" s="1"/>
  <c r="O990" i="1" a="1"/>
  <c r="O990" i="1" s="1"/>
  <c r="O989" i="1" a="1"/>
  <c r="O989" i="1" s="1"/>
  <c r="O988" i="1" a="1"/>
  <c r="O988" i="1" s="1"/>
  <c r="O987" i="1" a="1"/>
  <c r="O987" i="1" s="1"/>
  <c r="O986" i="1" a="1"/>
  <c r="O986" i="1" s="1"/>
  <c r="O985" i="1" a="1"/>
  <c r="O985" i="1" s="1"/>
  <c r="O984" i="1" a="1"/>
  <c r="O984" i="1" s="1"/>
  <c r="O983" i="1" a="1"/>
  <c r="O983" i="1" s="1"/>
  <c r="O982" i="1" a="1"/>
  <c r="O982" i="1" s="1"/>
  <c r="O981" i="1" a="1"/>
  <c r="O981" i="1" s="1"/>
  <c r="O980" i="1" a="1"/>
  <c r="O980" i="1" s="1"/>
  <c r="O979" i="1" a="1"/>
  <c r="O979" i="1" s="1"/>
  <c r="O978" i="1" a="1"/>
  <c r="O978" i="1" s="1"/>
  <c r="O977" i="1" a="1"/>
  <c r="O977" i="1" s="1"/>
  <c r="O976" i="1" a="1"/>
  <c r="O976" i="1" s="1"/>
  <c r="O975" i="1" a="1"/>
  <c r="O975" i="1" s="1"/>
  <c r="O974" i="1" a="1"/>
  <c r="O974" i="1" s="1"/>
  <c r="O973" i="1" a="1"/>
  <c r="O973" i="1" s="1"/>
  <c r="O972" i="1" a="1"/>
  <c r="O972" i="1" s="1"/>
  <c r="O971" i="1" a="1"/>
  <c r="O971" i="1" s="1"/>
  <c r="O970" i="1" a="1"/>
  <c r="O970" i="1" s="1"/>
  <c r="O969" i="1" a="1"/>
  <c r="O969" i="1" s="1"/>
  <c r="O968" i="1" a="1"/>
  <c r="O968" i="1" s="1"/>
  <c r="O967" i="1" a="1"/>
  <c r="O967" i="1" s="1"/>
  <c r="O966" i="1" a="1"/>
  <c r="O966" i="1" s="1"/>
  <c r="O965" i="1" a="1"/>
  <c r="O965" i="1" s="1"/>
  <c r="O964" i="1" a="1"/>
  <c r="O964" i="1" s="1"/>
  <c r="O963" i="1" a="1"/>
  <c r="O963" i="1" s="1"/>
  <c r="O962" i="1" a="1"/>
  <c r="O962" i="1" s="1"/>
  <c r="O961" i="1" a="1"/>
  <c r="O961" i="1" s="1"/>
  <c r="O960" i="1" a="1"/>
  <c r="O960" i="1" s="1"/>
  <c r="O959" i="1" a="1"/>
  <c r="O959" i="1" s="1"/>
  <c r="O958" i="1" a="1"/>
  <c r="O958" i="1" s="1"/>
  <c r="O957" i="1" a="1"/>
  <c r="O957" i="1" s="1"/>
  <c r="O956" i="1" a="1"/>
  <c r="O956" i="1" s="1"/>
  <c r="O955" i="1" a="1"/>
  <c r="O955" i="1" s="1"/>
  <c r="O954" i="1" a="1"/>
  <c r="O954" i="1" s="1"/>
  <c r="O953" i="1" a="1"/>
  <c r="O953" i="1" s="1"/>
  <c r="O952" i="1" a="1"/>
  <c r="O952" i="1" s="1"/>
  <c r="O951" i="1" a="1"/>
  <c r="O951" i="1" s="1"/>
  <c r="O950" i="1" a="1"/>
  <c r="O950" i="1" s="1"/>
  <c r="O949" i="1" a="1"/>
  <c r="O949" i="1" s="1"/>
  <c r="O948" i="1" a="1"/>
  <c r="O948" i="1" s="1"/>
  <c r="O947" i="1" a="1"/>
  <c r="O947" i="1" s="1"/>
  <c r="O946" i="1" a="1"/>
  <c r="O946" i="1" s="1"/>
  <c r="O945" i="1" a="1"/>
  <c r="O945" i="1" s="1"/>
  <c r="O944" i="1" a="1"/>
  <c r="O944" i="1" s="1"/>
  <c r="O943" i="1" a="1"/>
  <c r="O943" i="1" s="1"/>
  <c r="O942" i="1" a="1"/>
  <c r="O942" i="1" s="1"/>
  <c r="O941" i="1" a="1"/>
  <c r="O941" i="1" s="1"/>
  <c r="O940" i="1" a="1"/>
  <c r="O940" i="1" s="1"/>
  <c r="O939" i="1" a="1"/>
  <c r="O939" i="1" s="1"/>
  <c r="O938" i="1" a="1"/>
  <c r="O938" i="1" s="1"/>
  <c r="O937" i="1" a="1"/>
  <c r="O937" i="1" s="1"/>
  <c r="O936" i="1" a="1"/>
  <c r="O936" i="1" s="1"/>
  <c r="O935" i="1" a="1"/>
  <c r="O935" i="1" s="1"/>
  <c r="O934" i="1" a="1"/>
  <c r="O934" i="1" s="1"/>
  <c r="O933" i="1" a="1"/>
  <c r="O933" i="1" s="1"/>
  <c r="O932" i="1" a="1"/>
  <c r="O932" i="1" s="1"/>
  <c r="O931" i="1" a="1"/>
  <c r="O931" i="1" s="1"/>
  <c r="O930" i="1" a="1"/>
  <c r="O930" i="1" s="1"/>
  <c r="O929" i="1" a="1"/>
  <c r="O929" i="1" s="1"/>
  <c r="O928" i="1" a="1"/>
  <c r="O928" i="1" s="1"/>
  <c r="O927" i="1" a="1"/>
  <c r="O927" i="1" s="1"/>
  <c r="O926" i="1" a="1"/>
  <c r="O926" i="1" s="1"/>
  <c r="O925" i="1" a="1"/>
  <c r="O925" i="1" s="1"/>
  <c r="O924" i="1" a="1"/>
  <c r="O924" i="1" s="1"/>
  <c r="O923" i="1" a="1"/>
  <c r="O923" i="1" s="1"/>
  <c r="O922" i="1" a="1"/>
  <c r="O922" i="1" s="1"/>
  <c r="O921" i="1" a="1"/>
  <c r="O921" i="1" s="1"/>
  <c r="O920" i="1" a="1"/>
  <c r="O920" i="1" s="1"/>
  <c r="O919" i="1" a="1"/>
  <c r="O919" i="1" s="1"/>
  <c r="O918" i="1" a="1"/>
  <c r="O918" i="1" s="1"/>
  <c r="O917" i="1" a="1"/>
  <c r="O917" i="1" s="1"/>
  <c r="O916" i="1" a="1"/>
  <c r="O916" i="1" s="1"/>
  <c r="O915" i="1" a="1"/>
  <c r="O915" i="1" s="1"/>
  <c r="O914" i="1" a="1"/>
  <c r="O914" i="1" s="1"/>
  <c r="O913" i="1" a="1"/>
  <c r="O913" i="1" s="1"/>
  <c r="O912" i="1" a="1"/>
  <c r="O912" i="1" s="1"/>
  <c r="O911" i="1" a="1"/>
  <c r="O911" i="1" s="1"/>
  <c r="O910" i="1" a="1"/>
  <c r="O910" i="1" s="1"/>
  <c r="O909" i="1" a="1"/>
  <c r="O909" i="1" s="1"/>
  <c r="O908" i="1" a="1"/>
  <c r="O908" i="1" s="1"/>
  <c r="O907" i="1" a="1"/>
  <c r="O907" i="1" s="1"/>
  <c r="O906" i="1" a="1"/>
  <c r="O906" i="1" s="1"/>
  <c r="O905" i="1" a="1"/>
  <c r="O905" i="1" s="1"/>
  <c r="O904" i="1" a="1"/>
  <c r="O904" i="1" s="1"/>
  <c r="O903" i="1" a="1"/>
  <c r="O903" i="1" s="1"/>
  <c r="O902" i="1" a="1"/>
  <c r="O902" i="1" s="1"/>
  <c r="O901" i="1" a="1"/>
  <c r="O901" i="1" s="1"/>
  <c r="O900" i="1" a="1"/>
  <c r="O900" i="1" s="1"/>
  <c r="O899" i="1" a="1"/>
  <c r="O899" i="1" s="1"/>
  <c r="O898" i="1" a="1"/>
  <c r="O898" i="1" s="1"/>
  <c r="O897" i="1" a="1"/>
  <c r="O897" i="1" s="1"/>
  <c r="O896" i="1" a="1"/>
  <c r="O896" i="1" s="1"/>
  <c r="O895" i="1" a="1"/>
  <c r="O895" i="1" s="1"/>
  <c r="O894" i="1" a="1"/>
  <c r="O894" i="1" s="1"/>
  <c r="O893" i="1" a="1"/>
  <c r="O893" i="1" s="1"/>
  <c r="O892" i="1" a="1"/>
  <c r="O892" i="1" s="1"/>
  <c r="O891" i="1" a="1"/>
  <c r="O891" i="1" s="1"/>
  <c r="O890" i="1" a="1"/>
  <c r="O890" i="1" s="1"/>
  <c r="O889" i="1" a="1"/>
  <c r="O889" i="1" s="1"/>
  <c r="O888" i="1" a="1"/>
  <c r="O888" i="1" s="1"/>
  <c r="O887" i="1" a="1"/>
  <c r="O887" i="1" s="1"/>
  <c r="O886" i="1" a="1"/>
  <c r="O886" i="1" s="1"/>
  <c r="O885" i="1" a="1"/>
  <c r="O885" i="1" s="1"/>
  <c r="O884" i="1" a="1"/>
  <c r="O884" i="1" s="1"/>
  <c r="O883" i="1" a="1"/>
  <c r="O883" i="1" s="1"/>
  <c r="O882" i="1" a="1"/>
  <c r="O882" i="1" s="1"/>
  <c r="O881" i="1" a="1"/>
  <c r="O881" i="1" s="1"/>
  <c r="O880" i="1" a="1"/>
  <c r="O880" i="1" s="1"/>
  <c r="O879" i="1" a="1"/>
  <c r="O879" i="1" s="1"/>
  <c r="O878" i="1" a="1"/>
  <c r="O878" i="1" s="1"/>
  <c r="O877" i="1" a="1"/>
  <c r="O877" i="1" s="1"/>
  <c r="O876" i="1" a="1"/>
  <c r="O876" i="1" s="1"/>
  <c r="O875" i="1" a="1"/>
  <c r="O875" i="1" s="1"/>
  <c r="O874" i="1" a="1"/>
  <c r="O874" i="1" s="1"/>
  <c r="O873" i="1" a="1"/>
  <c r="O873" i="1" s="1"/>
  <c r="O872" i="1" a="1"/>
  <c r="O872" i="1" s="1"/>
  <c r="O871" i="1" a="1"/>
  <c r="O871" i="1" s="1"/>
  <c r="O870" i="1" a="1"/>
  <c r="O870" i="1" s="1"/>
  <c r="O869" i="1" a="1"/>
  <c r="O869" i="1" s="1"/>
  <c r="O868" i="1" a="1"/>
  <c r="O868" i="1" s="1"/>
  <c r="O867" i="1" a="1"/>
  <c r="O867" i="1" s="1"/>
  <c r="O866" i="1" a="1"/>
  <c r="O866" i="1" s="1"/>
  <c r="O865" i="1" a="1"/>
  <c r="O865" i="1" s="1"/>
  <c r="O864" i="1" a="1"/>
  <c r="O864" i="1" s="1"/>
  <c r="O863" i="1" a="1"/>
  <c r="O863" i="1" s="1"/>
  <c r="O862" i="1" a="1"/>
  <c r="O862" i="1" s="1"/>
  <c r="O861" i="1" a="1"/>
  <c r="O861" i="1" s="1"/>
  <c r="O860" i="1" a="1"/>
  <c r="O860" i="1" s="1"/>
  <c r="O859" i="1" a="1"/>
  <c r="O859" i="1" s="1"/>
  <c r="O858" i="1" a="1"/>
  <c r="O858" i="1" s="1"/>
  <c r="O857" i="1" a="1"/>
  <c r="O857" i="1" s="1"/>
  <c r="O856" i="1" a="1"/>
  <c r="O856" i="1" s="1"/>
  <c r="O855" i="1" a="1"/>
  <c r="O855" i="1" s="1"/>
  <c r="O854" i="1" a="1"/>
  <c r="O854" i="1" s="1"/>
  <c r="O853" i="1" a="1"/>
  <c r="O853" i="1" s="1"/>
  <c r="O852" i="1" a="1"/>
  <c r="O852" i="1" s="1"/>
  <c r="O851" i="1" a="1"/>
  <c r="O851" i="1" s="1"/>
  <c r="O850" i="1" a="1"/>
  <c r="O850" i="1" s="1"/>
  <c r="O849" i="1" a="1"/>
  <c r="O849" i="1" s="1"/>
  <c r="O848" i="1" a="1"/>
  <c r="O848" i="1" s="1"/>
  <c r="O847" i="1" a="1"/>
  <c r="O847" i="1" s="1"/>
  <c r="O846" i="1" a="1"/>
  <c r="O846" i="1" s="1"/>
  <c r="O845" i="1" a="1"/>
  <c r="O845" i="1" s="1"/>
  <c r="O844" i="1" a="1"/>
  <c r="O844" i="1" s="1"/>
  <c r="O843" i="1" a="1"/>
  <c r="O843" i="1" s="1"/>
  <c r="O842" i="1" a="1"/>
  <c r="O842" i="1" s="1"/>
  <c r="O841" i="1" a="1"/>
  <c r="O841" i="1" s="1"/>
  <c r="O840" i="1" a="1"/>
  <c r="O840" i="1" s="1"/>
  <c r="O839" i="1" a="1"/>
  <c r="O839" i="1" s="1"/>
  <c r="O838" i="1" a="1"/>
  <c r="O838" i="1" s="1"/>
  <c r="O837" i="1" a="1"/>
  <c r="O837" i="1" s="1"/>
  <c r="O836" i="1" a="1"/>
  <c r="O836" i="1" s="1"/>
  <c r="O835" i="1" a="1"/>
  <c r="O835" i="1" s="1"/>
  <c r="O834" i="1" a="1"/>
  <c r="O834" i="1" s="1"/>
  <c r="O833" i="1" a="1"/>
  <c r="O833" i="1" s="1"/>
  <c r="O832" i="1" a="1"/>
  <c r="O832" i="1" s="1"/>
  <c r="O831" i="1" a="1"/>
  <c r="O831" i="1" s="1"/>
  <c r="O830" i="1" a="1"/>
  <c r="O830" i="1" s="1"/>
  <c r="O829" i="1" a="1"/>
  <c r="O829" i="1" s="1"/>
  <c r="O828" i="1" a="1"/>
  <c r="O828" i="1" s="1"/>
  <c r="O827" i="1" a="1"/>
  <c r="O827" i="1" s="1"/>
  <c r="O826" i="1" a="1"/>
  <c r="O826" i="1" s="1"/>
  <c r="O825" i="1" a="1"/>
  <c r="O825" i="1" s="1"/>
  <c r="O824" i="1" a="1"/>
  <c r="O824" i="1" s="1"/>
  <c r="O823" i="1" a="1"/>
  <c r="O823" i="1" s="1"/>
  <c r="O822" i="1" a="1"/>
  <c r="O822" i="1" s="1"/>
  <c r="O821" i="1" a="1"/>
  <c r="O821" i="1" s="1"/>
  <c r="O820" i="1" a="1"/>
  <c r="O820" i="1" s="1"/>
  <c r="O819" i="1" a="1"/>
  <c r="O819" i="1" s="1"/>
  <c r="O818" i="1" a="1"/>
  <c r="O818" i="1" s="1"/>
  <c r="O817" i="1" a="1"/>
  <c r="O817" i="1" s="1"/>
  <c r="O816" i="1" a="1"/>
  <c r="O816" i="1" s="1"/>
  <c r="O815" i="1" a="1"/>
  <c r="O815" i="1" s="1"/>
  <c r="O814" i="1" a="1"/>
  <c r="O814" i="1" s="1"/>
  <c r="O813" i="1" a="1"/>
  <c r="O813" i="1" s="1"/>
  <c r="O812" i="1" a="1"/>
  <c r="O812" i="1" s="1"/>
  <c r="O811" i="1" a="1"/>
  <c r="O811" i="1" s="1"/>
  <c r="O810" i="1" a="1"/>
  <c r="O810" i="1" s="1"/>
  <c r="O809" i="1" a="1"/>
  <c r="O809" i="1" s="1"/>
  <c r="O808" i="1" a="1"/>
  <c r="O808" i="1" s="1"/>
  <c r="O807" i="1" a="1"/>
  <c r="O807" i="1" s="1"/>
  <c r="O806" i="1" a="1"/>
  <c r="O806" i="1" s="1"/>
  <c r="O805" i="1" a="1"/>
  <c r="O805" i="1" s="1"/>
  <c r="O804" i="1" a="1"/>
  <c r="O804" i="1" s="1"/>
  <c r="O803" i="1" a="1"/>
  <c r="O803" i="1" s="1"/>
  <c r="O802" i="1" a="1"/>
  <c r="O802" i="1" s="1"/>
  <c r="O801" i="1" a="1"/>
  <c r="O801" i="1" s="1"/>
  <c r="O800" i="1" a="1"/>
  <c r="O800" i="1" s="1"/>
  <c r="O799" i="1" a="1"/>
  <c r="O799" i="1" s="1"/>
  <c r="O798" i="1" a="1"/>
  <c r="O798" i="1" s="1"/>
  <c r="O797" i="1" a="1"/>
  <c r="O797" i="1" s="1"/>
  <c r="O796" i="1" a="1"/>
  <c r="O796" i="1" s="1"/>
  <c r="O795" i="1" a="1"/>
  <c r="O795" i="1" s="1"/>
  <c r="O794" i="1" a="1"/>
  <c r="O794" i="1" s="1"/>
  <c r="O793" i="1" a="1"/>
  <c r="O793" i="1" s="1"/>
  <c r="O792" i="1" a="1"/>
  <c r="O792" i="1" s="1"/>
  <c r="O791" i="1" a="1"/>
  <c r="O791" i="1" s="1"/>
  <c r="O790" i="1" a="1"/>
  <c r="O790" i="1" s="1"/>
  <c r="O789" i="1" a="1"/>
  <c r="O789" i="1" s="1"/>
  <c r="O788" i="1" a="1"/>
  <c r="O788" i="1" s="1"/>
  <c r="O787" i="1" a="1"/>
  <c r="O787" i="1" s="1"/>
  <c r="O786" i="1" a="1"/>
  <c r="O786" i="1" s="1"/>
  <c r="O785" i="1" a="1"/>
  <c r="O785" i="1" s="1"/>
  <c r="O784" i="1" a="1"/>
  <c r="O784" i="1" s="1"/>
  <c r="O783" i="1" a="1"/>
  <c r="O783" i="1" s="1"/>
  <c r="O782" i="1" a="1"/>
  <c r="O782" i="1" s="1"/>
  <c r="O781" i="1" a="1"/>
  <c r="O781" i="1" s="1"/>
  <c r="O780" i="1" a="1"/>
  <c r="O780" i="1" s="1"/>
  <c r="O779" i="1" a="1"/>
  <c r="O779" i="1" s="1"/>
  <c r="O778" i="1" a="1"/>
  <c r="O778" i="1" s="1"/>
  <c r="O777" i="1" a="1"/>
  <c r="O777" i="1" s="1"/>
  <c r="O776" i="1" a="1"/>
  <c r="O776" i="1" s="1"/>
  <c r="O775" i="1" a="1"/>
  <c r="O775" i="1" s="1"/>
  <c r="O774" i="1" a="1"/>
  <c r="O774" i="1" s="1"/>
  <c r="O773" i="1" a="1"/>
  <c r="O773" i="1" s="1"/>
  <c r="O772" i="1" a="1"/>
  <c r="O772" i="1" s="1"/>
  <c r="O771" i="1" a="1"/>
  <c r="O771" i="1" s="1"/>
  <c r="O770" i="1" a="1"/>
  <c r="O770" i="1" s="1"/>
  <c r="O769" i="1" a="1"/>
  <c r="O769" i="1" s="1"/>
  <c r="O768" i="1" a="1"/>
  <c r="O768" i="1" s="1"/>
  <c r="O767" i="1" a="1"/>
  <c r="O767" i="1" s="1"/>
  <c r="O766" i="1" a="1"/>
  <c r="O766" i="1" s="1"/>
  <c r="O765" i="1" a="1"/>
  <c r="O765" i="1" s="1"/>
  <c r="O764" i="1" a="1"/>
  <c r="O764" i="1" s="1"/>
  <c r="O763" i="1" a="1"/>
  <c r="O763" i="1" s="1"/>
  <c r="O762" i="1" a="1"/>
  <c r="O762" i="1" s="1"/>
  <c r="O761" i="1" a="1"/>
  <c r="O761" i="1" s="1"/>
  <c r="O760" i="1" a="1"/>
  <c r="O760" i="1" s="1"/>
  <c r="O759" i="1" a="1"/>
  <c r="O759" i="1" s="1"/>
  <c r="O758" i="1" a="1"/>
  <c r="O758" i="1" s="1"/>
  <c r="O757" i="1" a="1"/>
  <c r="O757" i="1" s="1"/>
  <c r="O756" i="1" a="1"/>
  <c r="O756" i="1" s="1"/>
  <c r="O755" i="1" a="1"/>
  <c r="O755" i="1" s="1"/>
  <c r="O754" i="1" a="1"/>
  <c r="O754" i="1" s="1"/>
  <c r="O753" i="1" a="1"/>
  <c r="O753" i="1" s="1"/>
  <c r="O752" i="1" a="1"/>
  <c r="O752" i="1" s="1"/>
  <c r="O751" i="1" a="1"/>
  <c r="O751" i="1" s="1"/>
  <c r="O750" i="1" a="1"/>
  <c r="O750" i="1" s="1"/>
  <c r="O749" i="1" a="1"/>
  <c r="O749" i="1" s="1"/>
  <c r="O748" i="1" a="1"/>
  <c r="O748" i="1" s="1"/>
  <c r="O747" i="1" a="1"/>
  <c r="O747" i="1" s="1"/>
  <c r="O746" i="1" a="1"/>
  <c r="O746" i="1" s="1"/>
  <c r="O745" i="1" a="1"/>
  <c r="O745" i="1" s="1"/>
  <c r="O744" i="1" a="1"/>
  <c r="O744" i="1" s="1"/>
  <c r="O743" i="1" a="1"/>
  <c r="O743" i="1" s="1"/>
  <c r="O742" i="1" a="1"/>
  <c r="O742" i="1" s="1"/>
  <c r="O741" i="1" a="1"/>
  <c r="O741" i="1" s="1"/>
  <c r="O740" i="1" a="1"/>
  <c r="O740" i="1" s="1"/>
  <c r="O739" i="1" a="1"/>
  <c r="O739" i="1" s="1"/>
  <c r="O738" i="1" a="1"/>
  <c r="O738" i="1" s="1"/>
  <c r="O737" i="1" a="1"/>
  <c r="O737" i="1" s="1"/>
  <c r="O736" i="1" a="1"/>
  <c r="O736" i="1" s="1"/>
  <c r="O735" i="1" a="1"/>
  <c r="O735" i="1" s="1"/>
  <c r="O734" i="1" a="1"/>
  <c r="O734" i="1" s="1"/>
  <c r="O733" i="1" a="1"/>
  <c r="O733" i="1" s="1"/>
  <c r="O732" i="1" a="1"/>
  <c r="O732" i="1" s="1"/>
  <c r="O731" i="1" a="1"/>
  <c r="O731" i="1" s="1"/>
  <c r="O730" i="1" a="1"/>
  <c r="O730" i="1" s="1"/>
  <c r="O729" i="1" a="1"/>
  <c r="O729" i="1" s="1"/>
  <c r="O728" i="1" a="1"/>
  <c r="O728" i="1" s="1"/>
  <c r="O727" i="1" a="1"/>
  <c r="O727" i="1" s="1"/>
  <c r="O726" i="1" a="1"/>
  <c r="O726" i="1" s="1"/>
  <c r="O725" i="1" a="1"/>
  <c r="O725" i="1" s="1"/>
  <c r="O724" i="1" a="1"/>
  <c r="O724" i="1" s="1"/>
  <c r="O723" i="1" a="1"/>
  <c r="O723" i="1" s="1"/>
  <c r="O722" i="1" a="1"/>
  <c r="O722" i="1" s="1"/>
  <c r="O721" i="1" a="1"/>
  <c r="O721" i="1" s="1"/>
  <c r="O720" i="1" a="1"/>
  <c r="O720" i="1" s="1"/>
  <c r="O719" i="1" a="1"/>
  <c r="O719" i="1" s="1"/>
  <c r="O718" i="1" a="1"/>
  <c r="O718" i="1" s="1"/>
  <c r="O717" i="1" a="1"/>
  <c r="O717" i="1" s="1"/>
  <c r="O716" i="1" a="1"/>
  <c r="O716" i="1" s="1"/>
  <c r="O715" i="1" a="1"/>
  <c r="O715" i="1" s="1"/>
  <c r="O714" i="1" a="1"/>
  <c r="O714" i="1" s="1"/>
  <c r="O713" i="1" a="1"/>
  <c r="O713" i="1" s="1"/>
  <c r="O712" i="1" a="1"/>
  <c r="O712" i="1" s="1"/>
  <c r="O711" i="1" a="1"/>
  <c r="O711" i="1" s="1"/>
  <c r="O710" i="1" a="1"/>
  <c r="O710" i="1" s="1"/>
  <c r="O709" i="1" a="1"/>
  <c r="O709" i="1" s="1"/>
  <c r="O708" i="1" a="1"/>
  <c r="O708" i="1" s="1"/>
  <c r="O707" i="1" a="1"/>
  <c r="O707" i="1" s="1"/>
  <c r="O706" i="1" a="1"/>
  <c r="O706" i="1" s="1"/>
  <c r="O705" i="1" a="1"/>
  <c r="O705" i="1" s="1"/>
  <c r="O704" i="1" a="1"/>
  <c r="O704" i="1" s="1"/>
  <c r="O703" i="1" a="1"/>
  <c r="O703" i="1" s="1"/>
  <c r="O702" i="1" a="1"/>
  <c r="O702" i="1" s="1"/>
  <c r="O701" i="1" a="1"/>
  <c r="O701" i="1" s="1"/>
  <c r="O700" i="1" a="1"/>
  <c r="O700" i="1" s="1"/>
  <c r="O699" i="1" a="1"/>
  <c r="O699" i="1" s="1"/>
  <c r="O698" i="1" a="1"/>
  <c r="O698" i="1" s="1"/>
  <c r="O697" i="1" a="1"/>
  <c r="O697" i="1" s="1"/>
  <c r="O696" i="1" a="1"/>
  <c r="O696" i="1" s="1"/>
  <c r="O695" i="1" a="1"/>
  <c r="O695" i="1" s="1"/>
  <c r="O694" i="1" a="1"/>
  <c r="O694" i="1" s="1"/>
  <c r="O693" i="1" a="1"/>
  <c r="O693" i="1" s="1"/>
  <c r="O692" i="1" a="1"/>
  <c r="O692" i="1" s="1"/>
  <c r="O691" i="1" a="1"/>
  <c r="O691" i="1" s="1"/>
  <c r="O690" i="1" a="1"/>
  <c r="O690" i="1" s="1"/>
  <c r="O689" i="1" a="1"/>
  <c r="O689" i="1" s="1"/>
  <c r="O688" i="1" a="1"/>
  <c r="O688" i="1" s="1"/>
  <c r="O687" i="1" a="1"/>
  <c r="O687" i="1" s="1"/>
  <c r="O686" i="1" a="1"/>
  <c r="O686" i="1" s="1"/>
  <c r="O685" i="1" a="1"/>
  <c r="O685" i="1" s="1"/>
  <c r="O684" i="1" a="1"/>
  <c r="O684" i="1" s="1"/>
  <c r="O683" i="1" a="1"/>
  <c r="O683" i="1" s="1"/>
  <c r="O682" i="1" a="1"/>
  <c r="O682" i="1" s="1"/>
  <c r="O681" i="1" a="1"/>
  <c r="O681" i="1" s="1"/>
  <c r="O680" i="1" a="1"/>
  <c r="O680" i="1" s="1"/>
  <c r="O679" i="1" a="1"/>
  <c r="O679" i="1" s="1"/>
  <c r="O678" i="1" a="1"/>
  <c r="O678" i="1" s="1"/>
  <c r="O677" i="1" a="1"/>
  <c r="O677" i="1" s="1"/>
  <c r="O676" i="1" a="1"/>
  <c r="O676" i="1" s="1"/>
  <c r="O675" i="1" a="1"/>
  <c r="O675" i="1" s="1"/>
  <c r="O674" i="1" a="1"/>
  <c r="O674" i="1" s="1"/>
  <c r="O673" i="1" a="1"/>
  <c r="O673" i="1" s="1"/>
  <c r="O672" i="1" a="1"/>
  <c r="O672" i="1" s="1"/>
  <c r="O671" i="1" a="1"/>
  <c r="O671" i="1" s="1"/>
  <c r="O670" i="1" a="1"/>
  <c r="O670" i="1" s="1"/>
  <c r="O669" i="1" a="1"/>
  <c r="O669" i="1" s="1"/>
  <c r="O668" i="1" a="1"/>
  <c r="O668" i="1" s="1"/>
  <c r="O667" i="1" a="1"/>
  <c r="O667" i="1" s="1"/>
  <c r="O666" i="1" a="1"/>
  <c r="O666" i="1" s="1"/>
  <c r="O665" i="1" a="1"/>
  <c r="O665" i="1" s="1"/>
  <c r="O664" i="1" a="1"/>
  <c r="O664" i="1" s="1"/>
  <c r="O663" i="1" a="1"/>
  <c r="O663" i="1" s="1"/>
  <c r="O662" i="1" a="1"/>
  <c r="O662" i="1" s="1"/>
  <c r="O661" i="1" a="1"/>
  <c r="O661" i="1" s="1"/>
  <c r="O660" i="1" a="1"/>
  <c r="O660" i="1" s="1"/>
  <c r="O659" i="1" a="1"/>
  <c r="O659" i="1" s="1"/>
  <c r="O658" i="1" a="1"/>
  <c r="O658" i="1" s="1"/>
  <c r="O657" i="1" a="1"/>
  <c r="O657" i="1" s="1"/>
  <c r="O656" i="1" a="1"/>
  <c r="O656" i="1" s="1"/>
  <c r="O655" i="1" a="1"/>
  <c r="O655" i="1" s="1"/>
  <c r="O654" i="1" a="1"/>
  <c r="O654" i="1" s="1"/>
  <c r="O653" i="1" a="1"/>
  <c r="O653" i="1" s="1"/>
  <c r="O652" i="1" a="1"/>
  <c r="O652" i="1" s="1"/>
  <c r="O651" i="1" a="1"/>
  <c r="O651" i="1" s="1"/>
  <c r="O650" i="1" a="1"/>
  <c r="O650" i="1" s="1"/>
  <c r="O649" i="1" a="1"/>
  <c r="O649" i="1" s="1"/>
  <c r="O648" i="1" a="1"/>
  <c r="O648" i="1" s="1"/>
  <c r="O647" i="1" a="1"/>
  <c r="O647" i="1" s="1"/>
  <c r="O646" i="1" a="1"/>
  <c r="O646" i="1" s="1"/>
  <c r="O645" i="1" a="1"/>
  <c r="O645" i="1" s="1"/>
  <c r="O644" i="1" a="1"/>
  <c r="O644" i="1" s="1"/>
  <c r="O643" i="1" a="1"/>
  <c r="O643" i="1" s="1"/>
  <c r="O642" i="1" a="1"/>
  <c r="O642" i="1" s="1"/>
  <c r="O641" i="1" a="1"/>
  <c r="O641" i="1" s="1"/>
  <c r="O640" i="1" a="1"/>
  <c r="O640" i="1" s="1"/>
  <c r="O639" i="1" a="1"/>
  <c r="O639" i="1" s="1"/>
  <c r="O638" i="1" a="1"/>
  <c r="O638" i="1" s="1"/>
  <c r="O637" i="1" a="1"/>
  <c r="O637" i="1" s="1"/>
  <c r="O636" i="1" a="1"/>
  <c r="O636" i="1" s="1"/>
  <c r="O635" i="1" a="1"/>
  <c r="O635" i="1" s="1"/>
  <c r="O634" i="1" a="1"/>
  <c r="O634" i="1" s="1"/>
  <c r="O633" i="1" a="1"/>
  <c r="O633" i="1" s="1"/>
  <c r="O632" i="1" a="1"/>
  <c r="O632" i="1" s="1"/>
  <c r="O631" i="1" a="1"/>
  <c r="O631" i="1" s="1"/>
  <c r="O630" i="1" a="1"/>
  <c r="O630" i="1" s="1"/>
  <c r="O629" i="1" a="1"/>
  <c r="O629" i="1" s="1"/>
  <c r="O628" i="1" a="1"/>
  <c r="O628" i="1" s="1"/>
  <c r="O627" i="1" a="1"/>
  <c r="O627" i="1" s="1"/>
  <c r="O626" i="1" a="1"/>
  <c r="O626" i="1" s="1"/>
  <c r="O625" i="1" a="1"/>
  <c r="O625" i="1" s="1"/>
  <c r="O624" i="1" a="1"/>
  <c r="O624" i="1" s="1"/>
  <c r="O623" i="1" a="1"/>
  <c r="O623" i="1" s="1"/>
  <c r="O622" i="1" a="1"/>
  <c r="O622" i="1" s="1"/>
  <c r="O621" i="1" a="1"/>
  <c r="O621" i="1" s="1"/>
  <c r="O620" i="1" a="1"/>
  <c r="O620" i="1" s="1"/>
  <c r="O619" i="1" a="1"/>
  <c r="O619" i="1" s="1"/>
  <c r="O618" i="1" a="1"/>
  <c r="O618" i="1" s="1"/>
  <c r="O617" i="1" a="1"/>
  <c r="O617" i="1" s="1"/>
  <c r="O616" i="1" a="1"/>
  <c r="O616" i="1" s="1"/>
  <c r="O615" i="1" a="1"/>
  <c r="O615" i="1" s="1"/>
  <c r="O614" i="1" a="1"/>
  <c r="O614" i="1" s="1"/>
  <c r="O613" i="1" a="1"/>
  <c r="O613" i="1" s="1"/>
  <c r="O612" i="1" a="1"/>
  <c r="O612" i="1" s="1"/>
  <c r="O611" i="1" a="1"/>
  <c r="O611" i="1" s="1"/>
  <c r="O610" i="1" a="1"/>
  <c r="O610" i="1" s="1"/>
  <c r="O609" i="1" a="1"/>
  <c r="O609" i="1" s="1"/>
  <c r="O608" i="1" a="1"/>
  <c r="O608" i="1" s="1"/>
  <c r="O607" i="1" a="1"/>
  <c r="O607" i="1" s="1"/>
  <c r="O606" i="1" a="1"/>
  <c r="O606" i="1" s="1"/>
  <c r="O605" i="1" a="1"/>
  <c r="O605" i="1" s="1"/>
  <c r="O604" i="1" a="1"/>
  <c r="O604" i="1" s="1"/>
  <c r="O603" i="1" a="1"/>
  <c r="O603" i="1" s="1"/>
  <c r="O602" i="1" a="1"/>
  <c r="O602" i="1" s="1"/>
  <c r="O601" i="1" a="1"/>
  <c r="O601" i="1" s="1"/>
  <c r="O600" i="1" a="1"/>
  <c r="O600" i="1" s="1"/>
  <c r="O599" i="1" a="1"/>
  <c r="O599" i="1" s="1"/>
  <c r="O598" i="1" a="1"/>
  <c r="O598" i="1" s="1"/>
  <c r="O597" i="1" a="1"/>
  <c r="O597" i="1" s="1"/>
  <c r="O596" i="1" a="1"/>
  <c r="O596" i="1" s="1"/>
  <c r="O595" i="1" a="1"/>
  <c r="O595" i="1" s="1"/>
  <c r="O594" i="1" a="1"/>
  <c r="O594" i="1" s="1"/>
  <c r="O593" i="1" a="1"/>
  <c r="O593" i="1" s="1"/>
  <c r="O592" i="1" a="1"/>
  <c r="O592" i="1" s="1"/>
  <c r="O591" i="1" a="1"/>
  <c r="O591" i="1" s="1"/>
  <c r="O590" i="1" a="1"/>
  <c r="O590" i="1" s="1"/>
  <c r="O589" i="1" a="1"/>
  <c r="O589" i="1" s="1"/>
  <c r="O588" i="1" a="1"/>
  <c r="O588" i="1" s="1"/>
  <c r="O587" i="1" a="1"/>
  <c r="O587" i="1" s="1"/>
  <c r="O586" i="1" a="1"/>
  <c r="O586" i="1" s="1"/>
  <c r="O585" i="1" a="1"/>
  <c r="O585" i="1" s="1"/>
  <c r="O584" i="1" a="1"/>
  <c r="O584" i="1" s="1"/>
  <c r="O583" i="1" a="1"/>
  <c r="O583" i="1" s="1"/>
  <c r="O582" i="1" a="1"/>
  <c r="O582" i="1" s="1"/>
  <c r="O581" i="1" a="1"/>
  <c r="O581" i="1" s="1"/>
  <c r="O580" i="1" a="1"/>
  <c r="O580" i="1" s="1"/>
  <c r="O579" i="1" a="1"/>
  <c r="O579" i="1" s="1"/>
  <c r="O578" i="1" a="1"/>
  <c r="O578" i="1" s="1"/>
  <c r="O577" i="1" a="1"/>
  <c r="O577" i="1" s="1"/>
  <c r="O576" i="1" a="1"/>
  <c r="O576" i="1" s="1"/>
  <c r="O575" i="1" a="1"/>
  <c r="O575" i="1" s="1"/>
  <c r="O574" i="1" a="1"/>
  <c r="O574" i="1" s="1"/>
  <c r="O573" i="1" a="1"/>
  <c r="O573" i="1" s="1"/>
  <c r="O572" i="1" a="1"/>
  <c r="O572" i="1" s="1"/>
  <c r="O571" i="1" a="1"/>
  <c r="O571" i="1" s="1"/>
  <c r="O570" i="1" a="1"/>
  <c r="O570" i="1" s="1"/>
  <c r="O569" i="1" a="1"/>
  <c r="O569" i="1" s="1"/>
  <c r="O568" i="1" a="1"/>
  <c r="O568" i="1" s="1"/>
  <c r="O567" i="1" a="1"/>
  <c r="O567" i="1" s="1"/>
  <c r="O566" i="1" a="1"/>
  <c r="O566" i="1" s="1"/>
  <c r="O565" i="1" a="1"/>
  <c r="O565" i="1" s="1"/>
  <c r="O564" i="1" a="1"/>
  <c r="O564" i="1" s="1"/>
  <c r="O563" i="1" a="1"/>
  <c r="O563" i="1" s="1"/>
  <c r="O562" i="1" a="1"/>
  <c r="O562" i="1" s="1"/>
  <c r="O561" i="1" a="1"/>
  <c r="O561" i="1" s="1"/>
  <c r="O560" i="1" a="1"/>
  <c r="O560" i="1" s="1"/>
  <c r="O559" i="1" a="1"/>
  <c r="O559" i="1" s="1"/>
  <c r="O558" i="1" a="1"/>
  <c r="O558" i="1" s="1"/>
  <c r="O557" i="1" a="1"/>
  <c r="O557" i="1" s="1"/>
  <c r="O556" i="1" a="1"/>
  <c r="O556" i="1" s="1"/>
  <c r="O555" i="1" a="1"/>
  <c r="O555" i="1" s="1"/>
  <c r="O554" i="1" a="1"/>
  <c r="O554" i="1" s="1"/>
  <c r="O553" i="1" a="1"/>
  <c r="O553" i="1" s="1"/>
  <c r="O552" i="1" a="1"/>
  <c r="O552" i="1" s="1"/>
  <c r="O551" i="1" a="1"/>
  <c r="O551" i="1" s="1"/>
  <c r="O550" i="1" a="1"/>
  <c r="O550" i="1" s="1"/>
  <c r="O549" i="1" a="1"/>
  <c r="O549" i="1" s="1"/>
  <c r="O548" i="1" a="1"/>
  <c r="O548" i="1" s="1"/>
  <c r="O547" i="1" a="1"/>
  <c r="O547" i="1" s="1"/>
  <c r="O546" i="1" a="1"/>
  <c r="O546" i="1" s="1"/>
  <c r="O545" i="1" a="1"/>
  <c r="O545" i="1" s="1"/>
  <c r="O544" i="1" a="1"/>
  <c r="O544" i="1" s="1"/>
  <c r="O543" i="1" a="1"/>
  <c r="O543" i="1" s="1"/>
  <c r="O542" i="1" a="1"/>
  <c r="O542" i="1" s="1"/>
  <c r="O541" i="1" a="1"/>
  <c r="O541" i="1" s="1"/>
  <c r="O540" i="1" a="1"/>
  <c r="O540" i="1" s="1"/>
  <c r="O539" i="1" a="1"/>
  <c r="O539" i="1" s="1"/>
  <c r="O538" i="1" a="1"/>
  <c r="O538" i="1" s="1"/>
  <c r="O537" i="1" a="1"/>
  <c r="O537" i="1" s="1"/>
  <c r="O536" i="1" a="1"/>
  <c r="O536" i="1" s="1"/>
  <c r="O535" i="1" a="1"/>
  <c r="O535" i="1" s="1"/>
  <c r="O534" i="1" a="1"/>
  <c r="O534" i="1" s="1"/>
  <c r="O533" i="1" a="1"/>
  <c r="O533" i="1" s="1"/>
  <c r="O532" i="1" a="1"/>
  <c r="O532" i="1" s="1"/>
  <c r="O531" i="1" a="1"/>
  <c r="O531" i="1" s="1"/>
  <c r="O530" i="1" a="1"/>
  <c r="O530" i="1" s="1"/>
  <c r="O529" i="1" a="1"/>
  <c r="O529" i="1" s="1"/>
  <c r="O528" i="1" a="1"/>
  <c r="O528" i="1" s="1"/>
  <c r="O527" i="1" a="1"/>
  <c r="O527" i="1" s="1"/>
  <c r="O526" i="1" a="1"/>
  <c r="O526" i="1" s="1"/>
  <c r="O525" i="1" a="1"/>
  <c r="O525" i="1" s="1"/>
  <c r="O524" i="1" a="1"/>
  <c r="O524" i="1" s="1"/>
  <c r="O523" i="1" a="1"/>
  <c r="O523" i="1" s="1"/>
  <c r="O522" i="1" a="1"/>
  <c r="O522" i="1" s="1"/>
  <c r="O521" i="1" a="1"/>
  <c r="O521" i="1" s="1"/>
  <c r="O520" i="1" a="1"/>
  <c r="O520" i="1" s="1"/>
  <c r="O519" i="1" a="1"/>
  <c r="O519" i="1" s="1"/>
  <c r="O518" i="1" a="1"/>
  <c r="O518" i="1" s="1"/>
  <c r="O517" i="1" a="1"/>
  <c r="O517" i="1" s="1"/>
  <c r="O516" i="1" a="1"/>
  <c r="O516" i="1" s="1"/>
  <c r="O515" i="1" a="1"/>
  <c r="O515" i="1" s="1"/>
  <c r="O514" i="1" a="1"/>
  <c r="O514" i="1" s="1"/>
  <c r="O513" i="1" a="1"/>
  <c r="O513" i="1" s="1"/>
  <c r="O512" i="1" a="1"/>
  <c r="O512" i="1" s="1"/>
  <c r="O511" i="1" a="1"/>
  <c r="O511" i="1" s="1"/>
  <c r="O510" i="1" a="1"/>
  <c r="O510" i="1" s="1"/>
  <c r="O509" i="1" a="1"/>
  <c r="O509" i="1" s="1"/>
  <c r="O508" i="1" a="1"/>
  <c r="O508" i="1" s="1"/>
  <c r="O507" i="1" a="1"/>
  <c r="O507" i="1" s="1"/>
  <c r="O506" i="1" a="1"/>
  <c r="O506" i="1" s="1"/>
  <c r="O505" i="1" a="1"/>
  <c r="O505" i="1" s="1"/>
  <c r="O504" i="1" a="1"/>
  <c r="O504" i="1" s="1"/>
  <c r="O503" i="1" a="1"/>
  <c r="O503" i="1" s="1"/>
  <c r="O502" i="1" a="1"/>
  <c r="O502" i="1" s="1"/>
  <c r="O501" i="1" a="1"/>
  <c r="O501" i="1" s="1"/>
  <c r="O500" i="1" a="1"/>
  <c r="O500" i="1" s="1"/>
  <c r="O499" i="1" a="1"/>
  <c r="O499" i="1" s="1"/>
  <c r="O498" i="1" a="1"/>
  <c r="O498" i="1" s="1"/>
  <c r="O497" i="1" a="1"/>
  <c r="O497" i="1" s="1"/>
  <c r="O496" i="1" a="1"/>
  <c r="O496" i="1" s="1"/>
  <c r="O495" i="1" a="1"/>
  <c r="O495" i="1" s="1"/>
  <c r="O494" i="1" a="1"/>
  <c r="O494" i="1" s="1"/>
  <c r="O493" i="1" a="1"/>
  <c r="O493" i="1" s="1"/>
  <c r="O492" i="1" a="1"/>
  <c r="O492" i="1" s="1"/>
  <c r="O491" i="1" a="1"/>
  <c r="O491" i="1" s="1"/>
  <c r="O490" i="1" a="1"/>
  <c r="O490" i="1" s="1"/>
  <c r="O489" i="1" a="1"/>
  <c r="O489" i="1" s="1"/>
  <c r="O488" i="1" a="1"/>
  <c r="O488" i="1" s="1"/>
  <c r="O487" i="1" a="1"/>
  <c r="O487" i="1" s="1"/>
  <c r="O486" i="1" a="1"/>
  <c r="O486" i="1" s="1"/>
  <c r="O485" i="1" a="1"/>
  <c r="O485" i="1" s="1"/>
  <c r="O484" i="1" a="1"/>
  <c r="O484" i="1" s="1"/>
  <c r="O483" i="1" a="1"/>
  <c r="O483" i="1" s="1"/>
  <c r="O482" i="1" a="1"/>
  <c r="O482" i="1" s="1"/>
  <c r="O481" i="1" a="1"/>
  <c r="O481" i="1" s="1"/>
  <c r="O480" i="1" a="1"/>
  <c r="O480" i="1" s="1"/>
  <c r="O479" i="1" a="1"/>
  <c r="O479" i="1" s="1"/>
  <c r="O478" i="1" a="1"/>
  <c r="O478" i="1" s="1"/>
  <c r="O477" i="1" a="1"/>
  <c r="O477" i="1" s="1"/>
  <c r="O476" i="1" a="1"/>
  <c r="O476" i="1" s="1"/>
  <c r="O475" i="1" a="1"/>
  <c r="O475" i="1" s="1"/>
  <c r="O474" i="1" a="1"/>
  <c r="O474" i="1" s="1"/>
  <c r="O473" i="1" a="1"/>
  <c r="O473" i="1" s="1"/>
  <c r="O472" i="1" a="1"/>
  <c r="O472" i="1" s="1"/>
  <c r="O471" i="1" a="1"/>
  <c r="O471" i="1" s="1"/>
  <c r="O470" i="1" a="1"/>
  <c r="O470" i="1" s="1"/>
  <c r="O469" i="1" a="1"/>
  <c r="O469" i="1" s="1"/>
  <c r="O468" i="1" a="1"/>
  <c r="O468" i="1" s="1"/>
  <c r="O467" i="1" a="1"/>
  <c r="O467" i="1" s="1"/>
  <c r="O466" i="1" a="1"/>
  <c r="O466" i="1" s="1"/>
  <c r="O465" i="1" a="1"/>
  <c r="O465" i="1" s="1"/>
  <c r="O464" i="1" a="1"/>
  <c r="O464" i="1" s="1"/>
  <c r="O463" i="1" a="1"/>
  <c r="O463" i="1" s="1"/>
  <c r="O462" i="1" a="1"/>
  <c r="O462" i="1" s="1"/>
  <c r="O461" i="1" a="1"/>
  <c r="O461" i="1" s="1"/>
  <c r="O460" i="1" a="1"/>
  <c r="O460" i="1" s="1"/>
  <c r="O459" i="1" a="1"/>
  <c r="O459" i="1" s="1"/>
  <c r="O458" i="1" a="1"/>
  <c r="O458" i="1" s="1"/>
  <c r="O457" i="1" a="1"/>
  <c r="O457" i="1" s="1"/>
  <c r="O456" i="1" a="1"/>
  <c r="O456" i="1" s="1"/>
  <c r="O455" i="1" a="1"/>
  <c r="O455" i="1" s="1"/>
  <c r="O454" i="1" a="1"/>
  <c r="O454" i="1" s="1"/>
  <c r="O453" i="1" a="1"/>
  <c r="O453" i="1" s="1"/>
  <c r="O452" i="1" a="1"/>
  <c r="O452" i="1" s="1"/>
  <c r="O451" i="1" a="1"/>
  <c r="O451" i="1" s="1"/>
  <c r="O450" i="1" a="1"/>
  <c r="O450" i="1" s="1"/>
  <c r="O449" i="1" a="1"/>
  <c r="O449" i="1" s="1"/>
  <c r="O448" i="1" a="1"/>
  <c r="O448" i="1" s="1"/>
  <c r="O447" i="1" a="1"/>
  <c r="O447" i="1" s="1"/>
  <c r="O446" i="1" a="1"/>
  <c r="O446" i="1" s="1"/>
  <c r="O445" i="1" a="1"/>
  <c r="O445" i="1" s="1"/>
  <c r="O444" i="1" a="1"/>
  <c r="O444" i="1" s="1"/>
  <c r="O443" i="1" a="1"/>
  <c r="O443" i="1" s="1"/>
  <c r="O442" i="1" a="1"/>
  <c r="O442" i="1" s="1"/>
  <c r="O441" i="1" a="1"/>
  <c r="O441" i="1" s="1"/>
  <c r="O440" i="1" a="1"/>
  <c r="O440" i="1" s="1"/>
  <c r="O439" i="1" a="1"/>
  <c r="O439" i="1" s="1"/>
  <c r="O438" i="1" a="1"/>
  <c r="O438" i="1" s="1"/>
  <c r="O437" i="1" a="1"/>
  <c r="O437" i="1" s="1"/>
  <c r="O436" i="1" a="1"/>
  <c r="O436" i="1" s="1"/>
  <c r="O435" i="1" a="1"/>
  <c r="O435" i="1" s="1"/>
  <c r="O434" i="1" a="1"/>
  <c r="O434" i="1" s="1"/>
  <c r="O433" i="1" a="1"/>
  <c r="O433" i="1" s="1"/>
  <c r="O432" i="1" a="1"/>
  <c r="O432" i="1" s="1"/>
  <c r="O431" i="1" a="1"/>
  <c r="O431" i="1" s="1"/>
  <c r="O430" i="1" a="1"/>
  <c r="O430" i="1" s="1"/>
  <c r="O429" i="1" a="1"/>
  <c r="O429" i="1" s="1"/>
  <c r="O428" i="1" a="1"/>
  <c r="O428" i="1" s="1"/>
  <c r="O427" i="1" a="1"/>
  <c r="O427" i="1" s="1"/>
  <c r="O426" i="1" a="1"/>
  <c r="O426" i="1" s="1"/>
  <c r="O425" i="1" a="1"/>
  <c r="O425" i="1" s="1"/>
  <c r="O424" i="1" a="1"/>
  <c r="O424" i="1" s="1"/>
  <c r="O423" i="1" a="1"/>
  <c r="O423" i="1" s="1"/>
  <c r="O422" i="1" a="1"/>
  <c r="O422" i="1" s="1"/>
  <c r="O421" i="1" a="1"/>
  <c r="O421" i="1" s="1"/>
  <c r="O420" i="1" a="1"/>
  <c r="O420" i="1" s="1"/>
  <c r="O419" i="1" a="1"/>
  <c r="O419" i="1" s="1"/>
  <c r="O418" i="1" a="1"/>
  <c r="O418" i="1" s="1"/>
  <c r="O417" i="1" a="1"/>
  <c r="O417" i="1" s="1"/>
  <c r="O416" i="1" a="1"/>
  <c r="O416" i="1" s="1"/>
  <c r="O415" i="1" a="1"/>
  <c r="O415" i="1" s="1"/>
  <c r="O414" i="1" a="1"/>
  <c r="O414" i="1" s="1"/>
  <c r="O413" i="1" a="1"/>
  <c r="O413" i="1" s="1"/>
  <c r="O412" i="1" a="1"/>
  <c r="O412" i="1" s="1"/>
  <c r="O411" i="1" a="1"/>
  <c r="O411" i="1" s="1"/>
  <c r="O410" i="1" a="1"/>
  <c r="O410" i="1" s="1"/>
  <c r="O409" i="1" a="1"/>
  <c r="O409" i="1" s="1"/>
  <c r="O408" i="1" a="1"/>
  <c r="O408" i="1" s="1"/>
  <c r="O407" i="1" a="1"/>
  <c r="O407" i="1" s="1"/>
  <c r="O406" i="1" a="1"/>
  <c r="O406" i="1" s="1"/>
  <c r="O405" i="1" a="1"/>
  <c r="O405" i="1" s="1"/>
  <c r="O404" i="1" a="1"/>
  <c r="O404" i="1" s="1"/>
  <c r="O403" i="1" a="1"/>
  <c r="O403" i="1" s="1"/>
  <c r="O402" i="1" a="1"/>
  <c r="O402" i="1" s="1"/>
  <c r="O401" i="1" a="1"/>
  <c r="O401" i="1" s="1"/>
  <c r="O400" i="1" a="1"/>
  <c r="O400" i="1" s="1"/>
  <c r="O399" i="1" a="1"/>
  <c r="O399" i="1" s="1"/>
  <c r="O398" i="1" a="1"/>
  <c r="O398" i="1" s="1"/>
  <c r="O397" i="1" a="1"/>
  <c r="O397" i="1" s="1"/>
  <c r="O396" i="1" a="1"/>
  <c r="O396" i="1" s="1"/>
  <c r="O395" i="1" a="1"/>
  <c r="O395" i="1" s="1"/>
  <c r="O394" i="1" a="1"/>
  <c r="O394" i="1" s="1"/>
  <c r="O393" i="1" a="1"/>
  <c r="O393" i="1" s="1"/>
  <c r="O392" i="1" a="1"/>
  <c r="O392" i="1" s="1"/>
  <c r="O391" i="1" a="1"/>
  <c r="O391" i="1" s="1"/>
  <c r="O390" i="1" a="1"/>
  <c r="O390" i="1" s="1"/>
  <c r="O389" i="1" a="1"/>
  <c r="O389" i="1" s="1"/>
  <c r="O388" i="1" a="1"/>
  <c r="O388" i="1" s="1"/>
  <c r="O387" i="1" a="1"/>
  <c r="O387" i="1" s="1"/>
  <c r="O386" i="1" a="1"/>
  <c r="O386" i="1" s="1"/>
  <c r="O385" i="1" a="1"/>
  <c r="O385" i="1" s="1"/>
  <c r="O384" i="1" a="1"/>
  <c r="O384" i="1" s="1"/>
  <c r="O383" i="1" a="1"/>
  <c r="O383" i="1" s="1"/>
  <c r="O382" i="1" a="1"/>
  <c r="O382" i="1" s="1"/>
  <c r="O381" i="1" a="1"/>
  <c r="O381" i="1" s="1"/>
  <c r="O380" i="1" a="1"/>
  <c r="O380" i="1" s="1"/>
  <c r="O379" i="1" a="1"/>
  <c r="O379" i="1" s="1"/>
  <c r="O378" i="1" a="1"/>
  <c r="O378" i="1" s="1"/>
  <c r="O377" i="1" a="1"/>
  <c r="O377" i="1" s="1"/>
  <c r="O376" i="1" a="1"/>
  <c r="O376" i="1" s="1"/>
  <c r="O375" i="1" a="1"/>
  <c r="O375" i="1" s="1"/>
  <c r="O374" i="1" a="1"/>
  <c r="O374" i="1" s="1"/>
  <c r="O373" i="1" a="1"/>
  <c r="O373" i="1" s="1"/>
  <c r="O372" i="1" a="1"/>
  <c r="O372" i="1" s="1"/>
  <c r="O371" i="1" a="1"/>
  <c r="O371" i="1" s="1"/>
  <c r="O370" i="1" a="1"/>
  <c r="O370" i="1" s="1"/>
  <c r="O369" i="1" a="1"/>
  <c r="O369" i="1" s="1"/>
  <c r="O368" i="1" a="1"/>
  <c r="O368" i="1" s="1"/>
  <c r="O367" i="1" a="1"/>
  <c r="O367" i="1" s="1"/>
  <c r="O366" i="1" a="1"/>
  <c r="O366" i="1" s="1"/>
  <c r="O365" i="1" a="1"/>
  <c r="O365" i="1" s="1"/>
  <c r="O364" i="1" a="1"/>
  <c r="O364" i="1" s="1"/>
  <c r="O363" i="1" a="1"/>
  <c r="O363" i="1" s="1"/>
  <c r="O362" i="1" a="1"/>
  <c r="O362" i="1" s="1"/>
  <c r="O361" i="1" a="1"/>
  <c r="O361" i="1" s="1"/>
  <c r="O360" i="1" a="1"/>
  <c r="O360" i="1" s="1"/>
  <c r="O359" i="1" a="1"/>
  <c r="O359" i="1" s="1"/>
  <c r="O358" i="1" a="1"/>
  <c r="O358" i="1" s="1"/>
  <c r="O357" i="1" a="1"/>
  <c r="O357" i="1" s="1"/>
  <c r="O356" i="1" a="1"/>
  <c r="O356" i="1" s="1"/>
  <c r="O355" i="1" a="1"/>
  <c r="O355" i="1" s="1"/>
  <c r="O354" i="1" a="1"/>
  <c r="O354" i="1" s="1"/>
  <c r="O353" i="1" a="1"/>
  <c r="O353" i="1" s="1"/>
  <c r="O352" i="1" a="1"/>
  <c r="O352" i="1" s="1"/>
  <c r="O351" i="1" a="1"/>
  <c r="O351" i="1" s="1"/>
  <c r="O350" i="1" a="1"/>
  <c r="O350" i="1" s="1"/>
  <c r="O349" i="1" a="1"/>
  <c r="O349" i="1" s="1"/>
  <c r="O348" i="1" a="1"/>
  <c r="O348" i="1" s="1"/>
  <c r="O347" i="1" a="1"/>
  <c r="O347" i="1" s="1"/>
  <c r="O346" i="1" a="1"/>
  <c r="O346" i="1" s="1"/>
  <c r="O345" i="1" a="1"/>
  <c r="O345" i="1" s="1"/>
  <c r="O344" i="1" a="1"/>
  <c r="O344" i="1" s="1"/>
  <c r="O343" i="1" a="1"/>
  <c r="O343" i="1" s="1"/>
  <c r="O342" i="1" a="1"/>
  <c r="O342" i="1" s="1"/>
  <c r="O341" i="1" a="1"/>
  <c r="O341" i="1" s="1"/>
  <c r="O340" i="1" a="1"/>
  <c r="O340" i="1" s="1"/>
  <c r="O339" i="1" a="1"/>
  <c r="O339" i="1" s="1"/>
  <c r="O338" i="1" a="1"/>
  <c r="O338" i="1" s="1"/>
  <c r="O337" i="1" a="1"/>
  <c r="O337" i="1" s="1"/>
  <c r="O336" i="1" a="1"/>
  <c r="O336" i="1" s="1"/>
  <c r="O335" i="1" a="1"/>
  <c r="O335" i="1" s="1"/>
  <c r="O334" i="1" a="1"/>
  <c r="O334" i="1" s="1"/>
  <c r="O333" i="1" a="1"/>
  <c r="O333" i="1" s="1"/>
  <c r="O332" i="1" a="1"/>
  <c r="O332" i="1" s="1"/>
  <c r="O331" i="1" a="1"/>
  <c r="O331" i="1" s="1"/>
  <c r="O330" i="1" a="1"/>
  <c r="O330" i="1" s="1"/>
  <c r="O329" i="1" a="1"/>
  <c r="O329" i="1" s="1"/>
  <c r="O328" i="1" a="1"/>
  <c r="O328" i="1" s="1"/>
  <c r="O327" i="1" a="1"/>
  <c r="O327" i="1" s="1"/>
  <c r="O326" i="1" a="1"/>
  <c r="O326" i="1" s="1"/>
  <c r="O325" i="1" a="1"/>
  <c r="O325" i="1" s="1"/>
  <c r="O324" i="1" a="1"/>
  <c r="O324" i="1" s="1"/>
  <c r="O323" i="1" a="1"/>
  <c r="O323" i="1" s="1"/>
  <c r="O322" i="1" a="1"/>
  <c r="O322" i="1" s="1"/>
  <c r="O321" i="1" a="1"/>
  <c r="O321" i="1" s="1"/>
  <c r="O320" i="1" a="1"/>
  <c r="O320" i="1" s="1"/>
  <c r="O319" i="1" a="1"/>
  <c r="O319" i="1" s="1"/>
  <c r="O318" i="1" a="1"/>
  <c r="O318" i="1" s="1"/>
  <c r="O317" i="1" a="1"/>
  <c r="O317" i="1" s="1"/>
  <c r="O316" i="1" a="1"/>
  <c r="O316" i="1" s="1"/>
  <c r="O315" i="1" a="1"/>
  <c r="O315" i="1" s="1"/>
  <c r="O314" i="1" a="1"/>
  <c r="O314" i="1" s="1"/>
  <c r="O313" i="1" a="1"/>
  <c r="O313" i="1" s="1"/>
  <c r="O312" i="1" a="1"/>
  <c r="O312" i="1" s="1"/>
  <c r="O311" i="1" a="1"/>
  <c r="O311" i="1" s="1"/>
  <c r="O310" i="1" a="1"/>
  <c r="O310" i="1" s="1"/>
  <c r="O309" i="1" a="1"/>
  <c r="O309" i="1" s="1"/>
  <c r="O308" i="1" a="1"/>
  <c r="O308" i="1" s="1"/>
  <c r="O307" i="1" a="1"/>
  <c r="O307" i="1" s="1"/>
  <c r="O306" i="1" a="1"/>
  <c r="O306" i="1" s="1"/>
  <c r="O305" i="1" a="1"/>
  <c r="O305" i="1" s="1"/>
  <c r="O304" i="1" a="1"/>
  <c r="O304" i="1" s="1"/>
  <c r="O303" i="1" a="1"/>
  <c r="O303" i="1" s="1"/>
  <c r="O302" i="1" a="1"/>
  <c r="O302" i="1" s="1"/>
  <c r="O301" i="1" a="1"/>
  <c r="O301" i="1" s="1"/>
  <c r="O300" i="1" a="1"/>
  <c r="O300" i="1" s="1"/>
  <c r="O299" i="1" a="1"/>
  <c r="O299" i="1" s="1"/>
  <c r="O298" i="1" a="1"/>
  <c r="O298" i="1" s="1"/>
  <c r="O297" i="1" a="1"/>
  <c r="O297" i="1" s="1"/>
  <c r="O296" i="1" a="1"/>
  <c r="O296" i="1" s="1"/>
  <c r="O295" i="1" a="1"/>
  <c r="O295" i="1" s="1"/>
  <c r="O294" i="1" a="1"/>
  <c r="O294" i="1" s="1"/>
  <c r="O293" i="1" a="1"/>
  <c r="O293" i="1" s="1"/>
  <c r="O292" i="1" a="1"/>
  <c r="O292" i="1" s="1"/>
  <c r="O291" i="1" a="1"/>
  <c r="O291" i="1" s="1"/>
  <c r="O290" i="1" a="1"/>
  <c r="O290" i="1" s="1"/>
  <c r="O289" i="1" a="1"/>
  <c r="O289" i="1" s="1"/>
  <c r="O288" i="1" a="1"/>
  <c r="O288" i="1" s="1"/>
  <c r="O287" i="1" a="1"/>
  <c r="O287" i="1" s="1"/>
  <c r="O286" i="1" a="1"/>
  <c r="O286" i="1" s="1"/>
  <c r="O285" i="1" a="1"/>
  <c r="O285" i="1" s="1"/>
  <c r="O284" i="1" a="1"/>
  <c r="O284" i="1" s="1"/>
  <c r="O283" i="1" a="1"/>
  <c r="O283" i="1" s="1"/>
  <c r="O282" i="1" a="1"/>
  <c r="O282" i="1" s="1"/>
  <c r="O281" i="1" a="1"/>
  <c r="O281" i="1" s="1"/>
  <c r="O280" i="1" a="1"/>
  <c r="O280" i="1" s="1"/>
  <c r="O279" i="1" a="1"/>
  <c r="O279" i="1" s="1"/>
  <c r="O278" i="1" a="1"/>
  <c r="O278" i="1" s="1"/>
  <c r="O277" i="1" a="1"/>
  <c r="O277" i="1" s="1"/>
  <c r="O276" i="1" a="1"/>
  <c r="O276" i="1" s="1"/>
  <c r="O275" i="1" a="1"/>
  <c r="O275" i="1" s="1"/>
  <c r="O274" i="1" a="1"/>
  <c r="O274" i="1" s="1"/>
  <c r="O273" i="1" a="1"/>
  <c r="O273" i="1" s="1"/>
  <c r="O272" i="1" a="1"/>
  <c r="O272" i="1" s="1"/>
  <c r="O271" i="1" a="1"/>
  <c r="O271" i="1" s="1"/>
  <c r="O270" i="1" a="1"/>
  <c r="O270" i="1" s="1"/>
  <c r="O269" i="1" a="1"/>
  <c r="O269" i="1" s="1"/>
  <c r="O268" i="1" a="1"/>
  <c r="O268" i="1" s="1"/>
  <c r="O267" i="1" a="1"/>
  <c r="O267" i="1" s="1"/>
  <c r="O266" i="1" a="1"/>
  <c r="O266" i="1" s="1"/>
  <c r="O265" i="1" a="1"/>
  <c r="O265" i="1" s="1"/>
  <c r="O264" i="1" a="1"/>
  <c r="O264" i="1" s="1"/>
  <c r="O263" i="1" a="1"/>
  <c r="O263" i="1" s="1"/>
  <c r="O262" i="1" a="1"/>
  <c r="O262" i="1" s="1"/>
  <c r="O261" i="1" a="1"/>
  <c r="O261" i="1" s="1"/>
  <c r="O260" i="1" a="1"/>
  <c r="O260" i="1" s="1"/>
  <c r="O259" i="1" a="1"/>
  <c r="O259" i="1" s="1"/>
  <c r="O258" i="1" a="1"/>
  <c r="O258" i="1" s="1"/>
  <c r="O257" i="1" a="1"/>
  <c r="O257" i="1" s="1"/>
  <c r="O256" i="1" a="1"/>
  <c r="O256" i="1" s="1"/>
  <c r="O255" i="1" a="1"/>
  <c r="O255" i="1" s="1"/>
  <c r="O254" i="1" a="1"/>
  <c r="O254" i="1" s="1"/>
  <c r="O253" i="1" a="1"/>
  <c r="O253" i="1" s="1"/>
  <c r="O252" i="1" a="1"/>
  <c r="O252" i="1" s="1"/>
  <c r="O251" i="1" a="1"/>
  <c r="O251" i="1" s="1"/>
  <c r="O250" i="1" a="1"/>
  <c r="O250" i="1" s="1"/>
  <c r="O249" i="1" a="1"/>
  <c r="O249" i="1" s="1"/>
  <c r="O248" i="1" a="1"/>
  <c r="O248" i="1" s="1"/>
  <c r="O247" i="1" a="1"/>
  <c r="O247" i="1" s="1"/>
  <c r="O246" i="1" a="1"/>
  <c r="O246" i="1" s="1"/>
  <c r="O245" i="1" a="1"/>
  <c r="O245" i="1" s="1"/>
  <c r="O244" i="1" a="1"/>
  <c r="O244" i="1" s="1"/>
  <c r="O243" i="1" a="1"/>
  <c r="O243" i="1" s="1"/>
  <c r="O242" i="1" a="1"/>
  <c r="O242" i="1" s="1"/>
  <c r="O241" i="1" a="1"/>
  <c r="O241" i="1" s="1"/>
  <c r="O240" i="1" a="1"/>
  <c r="O240" i="1" s="1"/>
  <c r="O239" i="1" a="1"/>
  <c r="O239" i="1" s="1"/>
  <c r="O238" i="1" a="1"/>
  <c r="O238" i="1" s="1"/>
  <c r="O237" i="1" a="1"/>
  <c r="O237" i="1" s="1"/>
  <c r="O236" i="1" a="1"/>
  <c r="O236" i="1" s="1"/>
  <c r="O235" i="1" a="1"/>
  <c r="O235" i="1" s="1"/>
  <c r="O234" i="1" a="1"/>
  <c r="O234" i="1" s="1"/>
  <c r="O233" i="1" a="1"/>
  <c r="O233" i="1" s="1"/>
  <c r="O232" i="1" a="1"/>
  <c r="O232" i="1" s="1"/>
  <c r="O231" i="1" a="1"/>
  <c r="O231" i="1" s="1"/>
  <c r="O230" i="1" a="1"/>
  <c r="O230" i="1" s="1"/>
  <c r="O229" i="1" a="1"/>
  <c r="O229" i="1" s="1"/>
  <c r="O228" i="1" a="1"/>
  <c r="O228" i="1" s="1"/>
  <c r="O227" i="1" a="1"/>
  <c r="O227" i="1" s="1"/>
  <c r="O226" i="1" a="1"/>
  <c r="O226" i="1" s="1"/>
  <c r="O225" i="1" a="1"/>
  <c r="O225" i="1" s="1"/>
  <c r="O224" i="1" a="1"/>
  <c r="O224" i="1" s="1"/>
  <c r="O223" i="1" a="1"/>
  <c r="O223" i="1" s="1"/>
  <c r="O222" i="1" a="1"/>
  <c r="O222" i="1" s="1"/>
  <c r="O221" i="1" a="1"/>
  <c r="O221" i="1" s="1"/>
  <c r="O220" i="1" a="1"/>
  <c r="O220" i="1" s="1"/>
  <c r="O219" i="1" a="1"/>
  <c r="O219" i="1" s="1"/>
  <c r="O218" i="1" a="1"/>
  <c r="O218" i="1" s="1"/>
  <c r="O217" i="1" a="1"/>
  <c r="O217" i="1" s="1"/>
  <c r="O216" i="1" a="1"/>
  <c r="O216" i="1" s="1"/>
  <c r="O215" i="1" a="1"/>
  <c r="O215" i="1" s="1"/>
  <c r="O214" i="1" a="1"/>
  <c r="O214" i="1" s="1"/>
  <c r="O213" i="1" a="1"/>
  <c r="O213" i="1" s="1"/>
  <c r="O212" i="1" a="1"/>
  <c r="O212" i="1" s="1"/>
  <c r="O211" i="1" a="1"/>
  <c r="O211" i="1" s="1"/>
  <c r="O210" i="1" a="1"/>
  <c r="O210" i="1" s="1"/>
  <c r="O209" i="1" a="1"/>
  <c r="O209" i="1" s="1"/>
  <c r="O208" i="1" a="1"/>
  <c r="O208" i="1" s="1"/>
  <c r="O207" i="1" a="1"/>
  <c r="O207" i="1" s="1"/>
  <c r="O206" i="1" a="1"/>
  <c r="O206" i="1" s="1"/>
  <c r="O205" i="1" a="1"/>
  <c r="O205" i="1" s="1"/>
  <c r="O204" i="1" a="1"/>
  <c r="O204" i="1" s="1"/>
  <c r="O203" i="1" a="1"/>
  <c r="O203" i="1" s="1"/>
  <c r="O202" i="1" a="1"/>
  <c r="O202" i="1" s="1"/>
  <c r="O201" i="1" a="1"/>
  <c r="O201" i="1" s="1"/>
  <c r="O200" i="1" a="1"/>
  <c r="O200" i="1" s="1"/>
  <c r="O199" i="1" a="1"/>
  <c r="O199" i="1" s="1"/>
  <c r="O198" i="1" a="1"/>
  <c r="O198" i="1" s="1"/>
  <c r="O197" i="1" a="1"/>
  <c r="O197" i="1" s="1"/>
  <c r="O196" i="1" a="1"/>
  <c r="O196" i="1" s="1"/>
  <c r="O195" i="1" a="1"/>
  <c r="O195" i="1" s="1"/>
  <c r="O194" i="1" a="1"/>
  <c r="O194" i="1" s="1"/>
  <c r="O193" i="1" a="1"/>
  <c r="O193" i="1" s="1"/>
  <c r="O192" i="1" a="1"/>
  <c r="O192" i="1" s="1"/>
  <c r="O191" i="1" a="1"/>
  <c r="O191" i="1" s="1"/>
  <c r="O190" i="1" a="1"/>
  <c r="O190" i="1" s="1"/>
  <c r="O189" i="1" a="1"/>
  <c r="O189" i="1" s="1"/>
  <c r="O188" i="1" a="1"/>
  <c r="O188" i="1" s="1"/>
  <c r="O187" i="1" a="1"/>
  <c r="O187" i="1" s="1"/>
  <c r="O186" i="1" a="1"/>
  <c r="O186" i="1" s="1"/>
  <c r="O185" i="1" a="1"/>
  <c r="O185" i="1" s="1"/>
  <c r="O184" i="1" a="1"/>
  <c r="O184" i="1" s="1"/>
  <c r="O183" i="1" a="1"/>
  <c r="O183" i="1" s="1"/>
  <c r="O182" i="1" a="1"/>
  <c r="O182" i="1" s="1"/>
  <c r="O181" i="1" a="1"/>
  <c r="O181" i="1" s="1"/>
  <c r="O180" i="1" a="1"/>
  <c r="O180" i="1" s="1"/>
  <c r="O179" i="1" a="1"/>
  <c r="O179" i="1" s="1"/>
  <c r="O178" i="1" a="1"/>
  <c r="O178" i="1" s="1"/>
  <c r="O177" i="1" a="1"/>
  <c r="O177" i="1" s="1"/>
  <c r="O176" i="1" a="1"/>
  <c r="O176" i="1" s="1"/>
  <c r="O175" i="1" a="1"/>
  <c r="O175" i="1" s="1"/>
  <c r="O174" i="1" a="1"/>
  <c r="O174" i="1" s="1"/>
  <c r="O173" i="1" a="1"/>
  <c r="O173" i="1" s="1"/>
  <c r="O172" i="1" a="1"/>
  <c r="O172" i="1" s="1"/>
  <c r="O171" i="1" a="1"/>
  <c r="O171" i="1" s="1"/>
  <c r="O170" i="1" a="1"/>
  <c r="O170" i="1" s="1"/>
  <c r="O169" i="1" a="1"/>
  <c r="O169" i="1" s="1"/>
  <c r="O168" i="1" a="1"/>
  <c r="O168" i="1" s="1"/>
  <c r="O167" i="1" a="1"/>
  <c r="O167" i="1" s="1"/>
  <c r="O166" i="1" a="1"/>
  <c r="O166" i="1" s="1"/>
  <c r="O165" i="1" a="1"/>
  <c r="O165" i="1" s="1"/>
  <c r="O164" i="1" a="1"/>
  <c r="O164" i="1" s="1"/>
  <c r="O163" i="1" a="1"/>
  <c r="O163" i="1" s="1"/>
  <c r="O162" i="1" a="1"/>
  <c r="O162" i="1" s="1"/>
  <c r="O161" i="1" a="1"/>
  <c r="O161" i="1" s="1"/>
  <c r="O160" i="1" a="1"/>
  <c r="O160" i="1" s="1"/>
  <c r="O159" i="1" a="1"/>
  <c r="O159" i="1" s="1"/>
  <c r="O158" i="1" a="1"/>
  <c r="O158" i="1" s="1"/>
  <c r="O157" i="1" a="1"/>
  <c r="O157" i="1" s="1"/>
  <c r="O156" i="1" a="1"/>
  <c r="O156" i="1" s="1"/>
  <c r="O155" i="1" a="1"/>
  <c r="O155" i="1" s="1"/>
  <c r="O154" i="1" a="1"/>
  <c r="O154" i="1" s="1"/>
  <c r="O153" i="1" a="1"/>
  <c r="O153" i="1" s="1"/>
  <c r="O152" i="1" a="1"/>
  <c r="O152" i="1" s="1"/>
  <c r="O151" i="1" a="1"/>
  <c r="O151" i="1" s="1"/>
  <c r="O150" i="1" a="1"/>
  <c r="O150" i="1" s="1"/>
  <c r="O149" i="1" a="1"/>
  <c r="O149" i="1" s="1"/>
  <c r="O148" i="1" a="1"/>
  <c r="O148" i="1" s="1"/>
  <c r="O147" i="1" a="1"/>
  <c r="O147" i="1" s="1"/>
  <c r="O146" i="1" a="1"/>
  <c r="O146" i="1" s="1"/>
  <c r="O145" i="1" a="1"/>
  <c r="O145" i="1" s="1"/>
  <c r="O144" i="1" a="1"/>
  <c r="O144" i="1" s="1"/>
  <c r="O143" i="1" a="1"/>
  <c r="O143" i="1" s="1"/>
  <c r="O142" i="1" a="1"/>
  <c r="O142" i="1" s="1"/>
  <c r="O141" i="1" a="1"/>
  <c r="O141" i="1" s="1"/>
  <c r="O140" i="1" a="1"/>
  <c r="O140" i="1" s="1"/>
  <c r="O139" i="1" a="1"/>
  <c r="O139" i="1" s="1"/>
  <c r="O138" i="1" a="1"/>
  <c r="O138" i="1" s="1"/>
  <c r="O137" i="1" a="1"/>
  <c r="O137" i="1" s="1"/>
  <c r="O136" i="1" a="1"/>
  <c r="O136" i="1" s="1"/>
  <c r="O135" i="1" a="1"/>
  <c r="O135" i="1" s="1"/>
  <c r="O134" i="1" a="1"/>
  <c r="O134" i="1" s="1"/>
  <c r="O133" i="1" a="1"/>
  <c r="O133" i="1" s="1"/>
  <c r="O132" i="1" a="1"/>
  <c r="O132" i="1" s="1"/>
  <c r="O131" i="1" a="1"/>
  <c r="O131" i="1" s="1"/>
  <c r="O130" i="1" a="1"/>
  <c r="O130" i="1" s="1"/>
  <c r="O129" i="1" a="1"/>
  <c r="O129" i="1" s="1"/>
  <c r="O128" i="1" a="1"/>
  <c r="O128" i="1" s="1"/>
  <c r="O127" i="1" a="1"/>
  <c r="O127" i="1" s="1"/>
  <c r="O126" i="1" a="1"/>
  <c r="O126" i="1" s="1"/>
  <c r="O125" i="1" a="1"/>
  <c r="O125" i="1" s="1"/>
  <c r="O124" i="1" a="1"/>
  <c r="O124" i="1" s="1"/>
  <c r="O123" i="1" a="1"/>
  <c r="O123" i="1" s="1"/>
  <c r="O122" i="1" a="1"/>
  <c r="O122" i="1" s="1"/>
  <c r="O121" i="1" a="1"/>
  <c r="O121" i="1" s="1"/>
  <c r="O120" i="1" a="1"/>
  <c r="O120" i="1" s="1"/>
  <c r="O119" i="1" a="1"/>
  <c r="O119" i="1" s="1"/>
  <c r="O118" i="1" a="1"/>
  <c r="O118" i="1" s="1"/>
  <c r="O117" i="1" a="1"/>
  <c r="O117" i="1" s="1"/>
  <c r="O116" i="1" a="1"/>
  <c r="O116" i="1" s="1"/>
  <c r="O115" i="1" a="1"/>
  <c r="O115" i="1" s="1"/>
  <c r="O114" i="1" a="1"/>
  <c r="O114" i="1" s="1"/>
  <c r="O113" i="1" a="1"/>
  <c r="O113" i="1" s="1"/>
  <c r="O112" i="1" a="1"/>
  <c r="O112" i="1" s="1"/>
  <c r="O111" i="1" a="1"/>
  <c r="O111" i="1" s="1"/>
  <c r="O110" i="1" a="1"/>
  <c r="O110" i="1" s="1"/>
  <c r="O109" i="1" a="1"/>
  <c r="O109" i="1" s="1"/>
  <c r="O108" i="1" a="1"/>
  <c r="O108" i="1" s="1"/>
  <c r="O107" i="1" a="1"/>
  <c r="O107" i="1" s="1"/>
  <c r="O106" i="1" a="1"/>
  <c r="O106" i="1" s="1"/>
  <c r="O105" i="1" a="1"/>
  <c r="O105" i="1" s="1"/>
  <c r="O104" i="1" a="1"/>
  <c r="O104" i="1" s="1"/>
  <c r="O103" i="1" a="1"/>
  <c r="O103" i="1" s="1"/>
  <c r="O102" i="1" a="1"/>
  <c r="O102" i="1" s="1"/>
  <c r="O101" i="1" a="1"/>
  <c r="O101" i="1" s="1"/>
  <c r="O100" i="1" a="1"/>
  <c r="O100" i="1" s="1"/>
  <c r="O99" i="1" a="1"/>
  <c r="O99" i="1" s="1"/>
  <c r="O98" i="1" a="1"/>
  <c r="O98" i="1" s="1"/>
  <c r="O97" i="1" a="1"/>
  <c r="O97" i="1" s="1"/>
  <c r="O96" i="1" a="1"/>
  <c r="O96" i="1" s="1"/>
  <c r="O95" i="1" a="1"/>
  <c r="O95" i="1" s="1"/>
  <c r="O94" i="1" a="1"/>
  <c r="O94" i="1" s="1"/>
  <c r="O93" i="1" a="1"/>
  <c r="O93" i="1" s="1"/>
  <c r="O92" i="1" a="1"/>
  <c r="O92" i="1" s="1"/>
  <c r="O91" i="1" a="1"/>
  <c r="O91" i="1" s="1"/>
  <c r="O90" i="1" a="1"/>
  <c r="O90" i="1" s="1"/>
  <c r="O89" i="1" a="1"/>
  <c r="O89" i="1" s="1"/>
  <c r="O88" i="1" a="1"/>
  <c r="O88" i="1" s="1"/>
  <c r="O87" i="1" a="1"/>
  <c r="O87" i="1" s="1"/>
  <c r="O86" i="1" a="1"/>
  <c r="O86" i="1" s="1"/>
  <c r="O85" i="1" a="1"/>
  <c r="O85" i="1" s="1"/>
  <c r="O84" i="1" a="1"/>
  <c r="O84" i="1" s="1"/>
  <c r="O83" i="1" a="1"/>
  <c r="O83" i="1" s="1"/>
  <c r="O82" i="1" a="1"/>
  <c r="O82" i="1" s="1"/>
  <c r="O81" i="1" a="1"/>
  <c r="O81" i="1" s="1"/>
  <c r="O80" i="1" a="1"/>
  <c r="O80" i="1" s="1"/>
  <c r="O79" i="1" a="1"/>
  <c r="O79" i="1" s="1"/>
  <c r="O78" i="1" a="1"/>
  <c r="O78" i="1" s="1"/>
  <c r="O77" i="1" a="1"/>
  <c r="O77" i="1" s="1"/>
  <c r="O76" i="1" a="1"/>
  <c r="O76" i="1" s="1"/>
  <c r="O75" i="1" a="1"/>
  <c r="O75" i="1" s="1"/>
  <c r="O74" i="1" a="1"/>
  <c r="O74" i="1" s="1"/>
  <c r="O73" i="1" a="1"/>
  <c r="O73" i="1" s="1"/>
  <c r="O72" i="1" a="1"/>
  <c r="O72" i="1" s="1"/>
  <c r="O71" i="1" a="1"/>
  <c r="O71" i="1" s="1"/>
  <c r="O70" i="1" a="1"/>
  <c r="O70" i="1" s="1"/>
  <c r="O69" i="1" a="1"/>
  <c r="O69" i="1" s="1"/>
  <c r="O68" i="1" a="1"/>
  <c r="O68" i="1" s="1"/>
  <c r="O67" i="1" a="1"/>
  <c r="O67" i="1" s="1"/>
  <c r="O66" i="1" a="1"/>
  <c r="O66" i="1" s="1"/>
  <c r="O65" i="1" a="1"/>
  <c r="O65" i="1" s="1"/>
  <c r="O64" i="1" a="1"/>
  <c r="O64" i="1" s="1"/>
  <c r="O63" i="1" a="1"/>
  <c r="O63" i="1" s="1"/>
  <c r="O62" i="1" a="1"/>
  <c r="O62" i="1" s="1"/>
  <c r="O61" i="1" a="1"/>
  <c r="O61" i="1" s="1"/>
  <c r="O60" i="1" a="1"/>
  <c r="O60" i="1" s="1"/>
  <c r="O59" i="1" a="1"/>
  <c r="O59" i="1" s="1"/>
  <c r="O58" i="1" a="1"/>
  <c r="O58" i="1" s="1"/>
  <c r="O57" i="1" a="1"/>
  <c r="O57" i="1" s="1"/>
  <c r="O56" i="1" a="1"/>
  <c r="O56" i="1" s="1"/>
  <c r="O55" i="1" a="1"/>
  <c r="O55" i="1" s="1"/>
  <c r="O54" i="1" a="1"/>
  <c r="O54" i="1" s="1"/>
  <c r="O53" i="1" a="1"/>
  <c r="O53" i="1" s="1"/>
  <c r="O52" i="1" a="1"/>
  <c r="O52" i="1" s="1"/>
  <c r="O51" i="1" a="1"/>
  <c r="O51" i="1" s="1"/>
  <c r="O50" i="1" a="1"/>
  <c r="O50" i="1" s="1"/>
  <c r="O49" i="1" a="1"/>
  <c r="O49" i="1" s="1"/>
  <c r="O48" i="1" a="1"/>
  <c r="O48" i="1" s="1"/>
  <c r="O47" i="1" a="1"/>
  <c r="O47" i="1" s="1"/>
  <c r="O46" i="1" a="1"/>
  <c r="O46" i="1" s="1"/>
  <c r="O45" i="1" a="1"/>
  <c r="O45" i="1" s="1"/>
  <c r="O44" i="1" a="1"/>
  <c r="O44" i="1" s="1"/>
  <c r="O43" i="1" a="1"/>
  <c r="O43" i="1" s="1"/>
  <c r="O42" i="1" a="1"/>
  <c r="O42" i="1" s="1"/>
  <c r="O41" i="1" a="1"/>
  <c r="O41" i="1" s="1"/>
  <c r="O40" i="1" a="1"/>
  <c r="O40" i="1" s="1"/>
  <c r="O39" i="1" a="1"/>
  <c r="O39" i="1" s="1"/>
  <c r="O38" i="1" a="1"/>
  <c r="O38" i="1" s="1"/>
  <c r="O37" i="1" a="1"/>
  <c r="O37" i="1" s="1"/>
  <c r="O36" i="1" a="1"/>
  <c r="O36" i="1" s="1"/>
  <c r="O35" i="1" a="1"/>
  <c r="O35" i="1" s="1"/>
  <c r="O34" i="1" a="1"/>
  <c r="O34" i="1" s="1"/>
  <c r="O33" i="1" a="1"/>
  <c r="O33" i="1" s="1"/>
  <c r="O32" i="1" a="1"/>
  <c r="O32" i="1" s="1"/>
  <c r="O31" i="1" a="1"/>
  <c r="O31" i="1" s="1"/>
  <c r="O30" i="1" a="1"/>
  <c r="O30" i="1" s="1"/>
  <c r="O29" i="1" a="1"/>
  <c r="O29" i="1" s="1"/>
  <c r="O28" i="1" a="1"/>
  <c r="O28" i="1" s="1"/>
  <c r="O27" i="1" a="1"/>
  <c r="O27" i="1" s="1"/>
  <c r="O26" i="1" a="1"/>
  <c r="O26" i="1" s="1"/>
  <c r="O25" i="1" a="1"/>
  <c r="O25" i="1" s="1"/>
  <c r="O24" i="1" a="1"/>
  <c r="O24" i="1" s="1"/>
  <c r="O23" i="1" a="1"/>
  <c r="O23" i="1" s="1"/>
  <c r="O22" i="1" a="1"/>
  <c r="O22" i="1" s="1"/>
  <c r="O21" i="1" a="1"/>
  <c r="O21" i="1" s="1"/>
  <c r="O20" i="1" a="1"/>
  <c r="O20" i="1" s="1"/>
  <c r="O19" i="1" a="1"/>
  <c r="O19" i="1" s="1"/>
  <c r="O18" i="1" a="1"/>
  <c r="O18" i="1" s="1"/>
  <c r="O17" i="1" a="1"/>
  <c r="O17" i="1" s="1"/>
  <c r="O16" i="1" a="1"/>
  <c r="O16" i="1" s="1"/>
  <c r="O15" i="1" a="1"/>
  <c r="O15" i="1" s="1"/>
  <c r="O14" i="1" a="1"/>
  <c r="O14" i="1" s="1"/>
  <c r="O13" i="1" a="1"/>
  <c r="O13" i="1" s="1"/>
  <c r="O12" i="1" a="1"/>
  <c r="O12" i="1" s="1"/>
  <c r="O11" i="1" a="1"/>
  <c r="O11" i="1" s="1"/>
  <c r="O10" i="1" a="1"/>
  <c r="O10" i="1" s="1"/>
  <c r="O9" i="1" a="1"/>
  <c r="O9" i="1" s="1"/>
  <c r="U8" i="1"/>
  <c r="O8" i="1" a="1"/>
  <c r="O8" i="1" s="1"/>
  <c r="O7" i="1" a="1"/>
  <c r="O7" i="1" s="1"/>
  <c r="O6" i="1" a="1"/>
  <c r="O6" i="1" s="1"/>
  <c r="O5" i="1" a="1"/>
  <c r="O5" i="1" s="1"/>
  <c r="O4" i="1" a="1"/>
  <c r="O4" i="1" s="1"/>
  <c r="O3" i="1" a="1"/>
  <c r="O3" i="1" s="1"/>
  <c r="O2" i="1" a="1"/>
  <c r="O2" i="1" s="1"/>
  <c r="U12" i="1" l="1"/>
  <c r="U11" i="1"/>
  <c r="U10" i="1"/>
  <c r="U9" i="1"/>
  <c r="N2401" i="1" l="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FA182E-7616-4841-B484-EDB0179ED06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C54FCD0-C297-44CA-997B-BB552907BA52}" name="WorksheetConnection_ecommerce-blank.xlsx!orders" type="102" refreshedVersion="6" minRefreshableVersion="5">
    <extLst>
      <ext xmlns:x15="http://schemas.microsoft.com/office/spreadsheetml/2010/11/main" uri="{DE250136-89BD-433C-8126-D09CA5730AF9}">
        <x15:connection id="orders" autoDelete="1">
          <x15:rangePr sourceName="_xlcn.WorksheetConnection_ecommerceblank.xlsxord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<sst xmlns="http://schemas.openxmlformats.org/spreadsheetml/2006/main" count="16901" uniqueCount="2540">
  <si>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</si>
  <si>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</si>
  <si>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</si>
  <si>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</si>
  <si>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</si>
  <si>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</si>
  <si>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</si>
  <si>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</si>
  <si>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</si>
  <si>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</si>
  <si>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</si>
  <si>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</si>
  <si>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</si>
  <si>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</si>
  <si>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</si>
  <si>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</si>
  <si>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</si>
  <si>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</si>
  <si>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</si>
  <si>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</si>
  <si>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</si>
  <si>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</si>
  <si>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</si>
  <si>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</si>
  <si>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</si>
  <si>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</si>
  <si>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</si>
  <si>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</si>
  <si>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</si>
  <si>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</si>
  <si>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</si>
  <si>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</si>
  <si>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</si>
  <si>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</si>
  <si>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</si>
  <si>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</si>
  <si>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</si>
  <si>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</si>
  <si>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</si>
  <si>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</si>
  <si>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</si>
  <si>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</si>
  <si>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</si>
  <si>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</si>
  <si>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</si>
  <si>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</si>
  <si>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</si>
  <si>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</si>
  <si>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</si>
  <si>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</si>
  <si>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</si>
  <si>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</si>
  <si>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</si>
  <si>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</si>
  <si>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</si>
  <si>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</si>
  <si>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</si>
  <si>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</si>
  <si>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</si>
  <si>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</si>
  <si>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</si>
  <si>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</si>
  <si>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</si>
  <si>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</si>
  <si>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</si>
  <si>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</si>
  <si>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</si>
  <si>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</si>
  <si>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</si>
  <si>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</si>
  <si>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</si>
  <si>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</si>
  <si>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</si>
  <si>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</si>
  <si>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</si>
  <si>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</si>
  <si>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</si>
  <si>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</si>
  <si>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</si>
  <si>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</si>
  <si>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</si>
  <si>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</si>
  <si>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</si>
  <si>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</si>
  <si>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</si>
  <si>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</si>
  <si>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</si>
  <si>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</si>
  <si>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</si>
  <si>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</si>
  <si>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</si>
  <si>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</si>
  <si>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</si>
  <si>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</si>
  <si>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</si>
  <si>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</si>
  <si>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</si>
  <si>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</si>
  <si>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</si>
  <si>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</si>
  <si>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</si>
  <si>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</si>
  <si>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</si>
  <si>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</si>
  <si>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</si>
  <si>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</si>
  <si>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</si>
  <si>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</si>
  <si>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</si>
  <si>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</si>
  <si>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</si>
  <si>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</si>
  <si>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</si>
  <si>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</si>
  <si>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</si>
  <si>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</si>
  <si>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</si>
  <si>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</si>
  <si>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</si>
  <si>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</si>
  <si>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</si>
  <si>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</si>
  <si>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</si>
  <si>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</si>
  <si>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</si>
  <si>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</si>
  <si>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</si>
  <si>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</si>
  <si>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</si>
  <si>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</si>
  <si>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</si>
  <si>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</si>
  <si>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</si>
  <si>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</si>
  <si>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</si>
  <si>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</si>
  <si>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</si>
  <si>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</si>
  <si>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</si>
  <si>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</si>
  <si>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</si>
  <si>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</si>
  <si>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</si>
  <si>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</si>
  <si>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</si>
  <si>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</si>
  <si>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</si>
  <si>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</si>
  <si>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</si>
  <si>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</si>
  <si>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</si>
  <si>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</si>
  <si>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</si>
  <si>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</si>
  <si>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</si>
  <si>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</si>
  <si>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</si>
  <si>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</si>
  <si>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</si>
  <si>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</si>
  <si>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</si>
  <si>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</si>
  <si>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</si>
  <si>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</si>
  <si>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</si>
  <si>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</si>
  <si>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</si>
  <si>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</si>
  <si>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</si>
  <si>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</si>
  <si>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</si>
  <si>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</si>
  <si>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</si>
  <si>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</si>
  <si>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</si>
  <si>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</si>
  <si>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</si>
  <si>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</si>
  <si>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</si>
  <si>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</si>
  <si>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</si>
  <si>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</si>
  <si>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</si>
  <si>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</si>
  <si>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</si>
  <si>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</si>
  <si>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</si>
  <si>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</si>
  <si>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</si>
  <si>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</si>
  <si>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</si>
  <si>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</si>
  <si>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</si>
  <si>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</si>
  <si>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</si>
  <si>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</si>
  <si>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</si>
  <si>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</si>
  <si>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</si>
  <si>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</si>
  <si>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</si>
  <si>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</si>
  <si>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</si>
  <si>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</si>
  <si>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</si>
  <si>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</si>
  <si>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</si>
  <si>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</si>
  <si>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</si>
  <si>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</si>
  <si>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</si>
  <si>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</si>
  <si>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</si>
  <si>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</si>
  <si>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</si>
  <si>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</si>
  <si>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</si>
  <si>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</si>
  <si>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</si>
  <si>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</si>
  <si>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</si>
  <si>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</si>
  <si>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</si>
  <si>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</si>
  <si>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</si>
  <si>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</si>
  <si>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</si>
  <si>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</si>
  <si>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</si>
  <si>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</si>
  <si>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</si>
  <si>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</si>
  <si>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</si>
  <si>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</si>
  <si>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</si>
  <si>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</si>
  <si>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</si>
  <si>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</si>
  <si>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</si>
  <si>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</si>
  <si>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</si>
  <si>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</si>
  <si>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</si>
  <si>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</si>
  <si>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</si>
  <si>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</si>
  <si>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</si>
  <si>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</si>
  <si>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</si>
  <si>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</si>
  <si>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</si>
  <si>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</si>
  <si>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</si>
  <si>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</si>
  <si>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</si>
  <si>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</si>
  <si>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</si>
  <si>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</si>
  <si>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</si>
  <si>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</si>
  <si>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</si>
  <si>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</si>
  <si>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</si>
  <si>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</si>
  <si>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</si>
  <si>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</si>
  <si>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</si>
  <si>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</si>
  <si>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</si>
  <si>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</si>
  <si>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</si>
  <si>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</si>
  <si>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</si>
  <si>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</si>
  <si>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</si>
  <si>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</si>
  <si>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</si>
  <si>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</si>
  <si>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</si>
  <si>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</si>
  <si>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</si>
  <si>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</si>
  <si>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</si>
  <si>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</si>
  <si>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</si>
  <si>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</si>
  <si>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</si>
  <si>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</si>
  <si>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</si>
  <si>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</si>
  <si>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</si>
  <si>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</si>
  <si>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</si>
  <si>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</si>
  <si>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</si>
  <si>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</si>
  <si>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</si>
  <si>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</si>
  <si>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</si>
  <si>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</si>
  <si>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</si>
  <si>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</si>
  <si>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</si>
  <si>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</si>
  <si>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</si>
  <si>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</si>
  <si>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</si>
  <si>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</si>
  <si>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</si>
  <si>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</si>
  <si>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</si>
  <si>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</si>
  <si>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</si>
  <si>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</si>
  <si>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</si>
  <si>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</si>
  <si>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</si>
  <si>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</si>
  <si>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</si>
  <si>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</si>
  <si>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</si>
  <si>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</si>
  <si>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</si>
  <si>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</si>
  <si>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</si>
  <si>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</si>
  <si>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</si>
  <si>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</si>
  <si>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</si>
  <si>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</si>
  <si>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</si>
  <si>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</si>
  <si>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</si>
  <si>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</si>
  <si>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</si>
  <si>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</si>
  <si>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</si>
  <si>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</si>
  <si>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</si>
  <si>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</si>
  <si>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</si>
  <si>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</si>
  <si>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</si>
  <si>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</si>
  <si>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</si>
  <si>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</si>
  <si>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</si>
  <si>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</si>
  <si>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</si>
  <si>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</si>
  <si>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</si>
  <si>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</si>
  <si>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</si>
  <si>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</si>
  <si>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</si>
  <si>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</si>
  <si>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</si>
  <si>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</si>
  <si>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</si>
  <si>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</si>
  <si>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</si>
  <si>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</si>
  <si>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</si>
  <si>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</si>
  <si>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</si>
  <si>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</si>
  <si>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</si>
  <si>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</si>
  <si>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</si>
  <si>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</si>
  <si>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</si>
  <si>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</si>
  <si>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</si>
  <si>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</si>
  <si>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</si>
  <si>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</si>
  <si>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</si>
  <si>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</si>
  <si>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</si>
  <si>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</si>
  <si>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</si>
  <si>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</si>
  <si>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</si>
  <si>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</si>
  <si>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</si>
  <si>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</si>
  <si>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</si>
  <si>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</si>
  <si>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</si>
  <si>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</si>
  <si>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</si>
  <si>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</si>
  <si>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</si>
  <si>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</si>
  <si>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</si>
  <si>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</si>
  <si>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</si>
  <si>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</si>
  <si>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</si>
  <si>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</si>
  <si>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</si>
  <si>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</si>
  <si>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</si>
  <si>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</si>
  <si>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</si>
  <si>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</si>
  <si>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</si>
  <si>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</si>
  <si>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</si>
  <si>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</si>
  <si>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</si>
  <si>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</si>
  <si>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</si>
  <si>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</si>
  <si>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</si>
  <si>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</si>
  <si>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</si>
  <si>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</si>
  <si>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</si>
  <si>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</si>
  <si>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</si>
  <si>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</si>
  <si>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</si>
  <si>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</si>
  <si>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</si>
  <si>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</si>
  <si>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</si>
  <si>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</si>
  <si>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</si>
  <si>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</si>
  <si>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</si>
  <si>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</si>
  <si>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</si>
  <si>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</si>
  <si>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</si>
  <si>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</si>
  <si>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</si>
  <si>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</si>
  <si>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</si>
  <si>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</si>
  <si>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</si>
  <si>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</si>
  <si>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</si>
  <si>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</si>
  <si>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</si>
  <si>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</si>
  <si>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</si>
  <si>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</si>
  <si>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</si>
  <si>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</si>
  <si>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</si>
  <si>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</si>
  <si>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</si>
  <si>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</si>
  <si>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</si>
  <si>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</si>
  <si>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</si>
  <si>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</si>
  <si>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</si>
  <si>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</si>
  <si>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</si>
  <si>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</si>
  <si>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</si>
  <si>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</si>
  <si>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</si>
  <si>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</si>
  <si>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</si>
  <si>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</si>
  <si>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</si>
  <si>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</si>
  <si>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</si>
  <si>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</si>
  <si>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</si>
  <si>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</si>
  <si>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</si>
  <si>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</si>
  <si>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</si>
  <si>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</si>
  <si>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</si>
  <si>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</si>
  <si>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</si>
  <si>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</si>
  <si>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</si>
  <si>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</si>
  <si>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</si>
  <si>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</si>
  <si>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</si>
  <si>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</si>
  <si>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</si>
  <si>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</si>
  <si>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</si>
  <si>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</si>
  <si>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</si>
  <si>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</si>
  <si>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</si>
  <si>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</si>
  <si>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</si>
  <si>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</si>
  <si>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</si>
  <si>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</si>
  <si>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</si>
  <si>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</si>
  <si>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</si>
  <si>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</si>
  <si>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</si>
  <si>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</si>
  <si>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</si>
  <si>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</si>
  <si>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</si>
  <si>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</si>
  <si>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</si>
  <si>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</si>
  <si>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</si>
  <si>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</si>
  <si>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</si>
  <si>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</si>
  <si>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</si>
  <si>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</si>
  <si>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</si>
  <si>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</si>
  <si>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</si>
  <si>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</si>
  <si>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</si>
  <si>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</si>
  <si>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</si>
  <si>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</si>
  <si>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</si>
  <si>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</si>
  <si>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</si>
  <si>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</si>
  <si>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</si>
  <si>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</si>
  <si>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</si>
  <si>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</si>
  <si>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</si>
  <si>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</si>
  <si>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</si>
  <si>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</si>
  <si>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</si>
  <si>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</si>
  <si>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</si>
  <si>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</si>
  <si>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</si>
  <si>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</si>
  <si>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</si>
  <si>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</si>
  <si>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</si>
  <si>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</si>
  <si>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</si>
  <si>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</si>
  <si>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</si>
  <si>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</si>
  <si>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</si>
  <si>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</si>
  <si>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</si>
  <si>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</si>
  <si>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</si>
  <si>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</si>
  <si>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</si>
  <si>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</si>
  <si>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</si>
  <si>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</si>
  <si>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</si>
  <si>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</si>
  <si>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</si>
  <si>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</si>
  <si>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</si>
  <si>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</si>
  <si>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</si>
  <si>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</si>
  <si>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</si>
  <si>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</si>
  <si>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</si>
  <si>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</si>
  <si>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</si>
  <si>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</si>
  <si>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</si>
  <si>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</si>
  <si>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</si>
  <si>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</si>
  <si>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</si>
  <si>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</si>
  <si>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</si>
  <si>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</si>
  <si>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</si>
  <si>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</si>
  <si>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</si>
  <si>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</si>
  <si>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</si>
  <si>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</si>
  <si>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</si>
  <si>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</si>
  <si>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</si>
  <si>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</si>
  <si>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</si>
  <si>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</si>
  <si>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</si>
  <si>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</si>
  <si>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</si>
  <si>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</si>
  <si>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</si>
  <si>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</si>
  <si>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</si>
  <si>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</si>
  <si>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</si>
  <si>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</si>
  <si>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</si>
  <si>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</si>
  <si>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</si>
  <si>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</si>
  <si>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</si>
  <si>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</si>
  <si>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</si>
  <si>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</si>
  <si>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</si>
  <si>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</si>
  <si>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</si>
  <si>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</si>
  <si>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</si>
  <si>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</si>
  <si>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</si>
  <si>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</si>
  <si>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</si>
  <si>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</si>
  <si>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</si>
  <si>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</si>
  <si>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</si>
  <si>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</si>
  <si>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</si>
  <si>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</si>
  <si>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</si>
  <si>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</si>
  <si>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</si>
  <si>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</si>
  <si>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</si>
  <si>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</si>
  <si>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</si>
  <si>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</si>
  <si>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</si>
  <si>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</si>
  <si>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</si>
  <si>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</si>
  <si>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</si>
  <si>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</si>
  <si>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</si>
  <si>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</si>
  <si>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</si>
  <si>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</si>
  <si>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</si>
  <si>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</si>
  <si>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</si>
  <si>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</si>
  <si>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</si>
  <si>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</si>
  <si>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</si>
  <si>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</si>
  <si>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</si>
  <si>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</si>
  <si>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</si>
  <si>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</si>
  <si>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</si>
  <si>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</si>
  <si>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</si>
  <si>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</si>
  <si>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</si>
  <si>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</si>
  <si>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</si>
  <si>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</si>
  <si>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</si>
  <si>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</si>
  <si>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</si>
  <si>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</si>
  <si>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</si>
  <si>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</si>
  <si>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</si>
  <si>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</si>
  <si>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</si>
  <si>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</si>
  <si>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</si>
  <si>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</si>
  <si>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</si>
  <si>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</si>
  <si>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</si>
  <si>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</si>
  <si>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</si>
  <si>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</si>
  <si>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</si>
  <si>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</si>
  <si>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</si>
  <si>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</si>
  <si>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</si>
  <si>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</si>
  <si>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</si>
  <si>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</si>
  <si>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</si>
  <si>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</si>
  <si>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</si>
  <si>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</si>
  <si>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</si>
  <si>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</si>
  <si>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</si>
  <si>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</si>
  <si>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</si>
  <si>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</si>
  <si>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</si>
  <si>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</si>
  <si>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</si>
  <si>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</si>
  <si>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</si>
  <si>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</si>
  <si>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</si>
  <si>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</si>
  <si>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</si>
  <si>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</si>
  <si>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</si>
  <si>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</si>
  <si>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</si>
  <si>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</si>
  <si>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</si>
  <si>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</si>
  <si>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</si>
  <si>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</si>
  <si>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</si>
  <si>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</si>
  <si>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</si>
  <si>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</si>
  <si>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</si>
  <si>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</si>
  <si>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</si>
  <si>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</si>
  <si>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</si>
  <si>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</si>
  <si>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</si>
  <si>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</si>
  <si>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</si>
  <si>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</si>
  <si>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</si>
  <si>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</si>
  <si>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</si>
  <si>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</si>
  <si>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</si>
  <si>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</si>
  <si>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</si>
  <si>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</si>
  <si>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</si>
  <si>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</si>
  <si>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</si>
  <si>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</si>
  <si>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</si>
  <si>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</si>
  <si>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</si>
  <si>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</si>
  <si>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</si>
  <si>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</si>
  <si>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</si>
  <si>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</si>
  <si>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</si>
  <si>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</si>
  <si>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</si>
  <si>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</si>
  <si>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</si>
  <si>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</si>
  <si>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</si>
  <si>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</si>
  <si>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</si>
  <si>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</si>
  <si>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</si>
  <si>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</si>
  <si>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</si>
  <si>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</si>
  <si>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</si>
  <si>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</si>
  <si>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</si>
  <si>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</si>
  <si>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</si>
  <si>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</si>
  <si>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</si>
  <si>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</si>
  <si>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</si>
  <si>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</si>
  <si>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</si>
  <si>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</si>
  <si>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</si>
  <si>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</si>
  <si>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</si>
  <si>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</si>
  <si>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</si>
  <si>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</si>
  <si>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</si>
  <si>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</si>
  <si>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</si>
  <si>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</si>
  <si>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</si>
  <si>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</si>
  <si>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</si>
  <si>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</si>
  <si>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</si>
  <si>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</si>
  <si>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</si>
  <si>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</si>
  <si>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</si>
  <si>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</si>
  <si>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</si>
  <si>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</si>
  <si>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</si>
  <si>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</si>
  <si>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</si>
  <si>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</si>
  <si>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</si>
  <si>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</si>
  <si>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</si>
  <si>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</si>
  <si>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</si>
  <si>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</si>
  <si>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</si>
  <si>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</si>
  <si>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</si>
  <si>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</si>
  <si>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</si>
  <si>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</si>
  <si>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</si>
  <si>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</si>
  <si>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</si>
  <si>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</si>
  <si>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</si>
  <si>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</si>
  <si>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</si>
  <si>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</si>
  <si>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</si>
  <si>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</si>
  <si>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</si>
  <si>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</si>
  <si>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</si>
  <si>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</si>
  <si>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</si>
  <si>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</si>
  <si>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</si>
  <si>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</si>
  <si>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</si>
  <si>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</si>
  <si>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</si>
  <si>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</si>
  <si>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</si>
  <si>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</si>
  <si>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</si>
  <si>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</si>
  <si>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</si>
  <si>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</si>
  <si>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</si>
  <si>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</si>
  <si>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</si>
  <si>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</si>
  <si>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</si>
  <si>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</si>
  <si>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</si>
  <si>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</si>
  <si>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</si>
  <si>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</si>
  <si>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</si>
  <si>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</si>
  <si>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</si>
  <si>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</si>
  <si>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</si>
  <si>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</si>
  <si>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</si>
  <si>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</si>
  <si>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</si>
  <si>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</si>
  <si>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</si>
  <si>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</si>
  <si>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</si>
  <si>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</si>
  <si>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</si>
  <si>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</si>
  <si>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</si>
  <si>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</si>
  <si>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</si>
  <si>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</si>
  <si>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</si>
  <si>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</si>
  <si>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</si>
  <si>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</si>
  <si>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</si>
  <si>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</si>
  <si>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</si>
  <si>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</si>
  <si>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</si>
  <si>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</si>
  <si>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</si>
  <si>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</si>
  <si>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</si>
  <si>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</si>
  <si>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</si>
  <si>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</si>
  <si>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</si>
  <si>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</si>
  <si>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</si>
  <si>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</si>
  <si>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</si>
  <si>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</si>
  <si>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</si>
  <si>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</si>
  <si>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</si>
  <si>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</si>
  <si>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</si>
  <si>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</si>
  <si>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</si>
  <si>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</si>
  <si>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</si>
  <si>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</si>
  <si>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</si>
  <si>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</si>
  <si>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</si>
  <si>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</si>
  <si>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</si>
  <si>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</si>
  <si>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</si>
  <si>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</si>
  <si>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</si>
  <si>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</si>
  <si>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</si>
  <si>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</si>
  <si>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</si>
  <si>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</si>
  <si>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</si>
  <si>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</si>
  <si>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</si>
  <si>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</si>
  <si>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</si>
  <si>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</si>
  <si>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</si>
  <si>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</si>
  <si>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</si>
  <si>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</si>
  <si>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</si>
  <si>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</si>
  <si>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</si>
  <si>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</si>
  <si>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</si>
  <si>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</si>
  <si>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</si>
  <si>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</si>
  <si>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</si>
  <si>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</si>
  <si>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</si>
  <si>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</si>
  <si>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</si>
  <si>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</si>
  <si>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</si>
  <si>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</si>
  <si>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</si>
  <si>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</si>
  <si>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</si>
  <si>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</si>
  <si>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</si>
  <si>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</si>
  <si>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</si>
  <si>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</si>
  <si>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</si>
  <si>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</si>
  <si>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</si>
  <si>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</si>
  <si>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</si>
  <si>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</si>
  <si>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</si>
  <si>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</si>
  <si>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</si>
  <si>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</si>
  <si>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</si>
  <si>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</si>
  <si>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</si>
  <si>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</si>
  <si>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</si>
  <si>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</si>
  <si>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</si>
  <si>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</si>
  <si>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</si>
  <si>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</si>
  <si>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</si>
  <si>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</si>
  <si>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</si>
  <si>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</si>
  <si>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</si>
  <si>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</si>
  <si>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</si>
  <si>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</si>
  <si>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</si>
  <si>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</si>
  <si>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</si>
  <si>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</si>
  <si>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</si>
  <si>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</si>
  <si>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</si>
  <si>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</si>
  <si>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</si>
  <si>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</si>
  <si>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</si>
  <si>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</si>
  <si>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</si>
  <si>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</si>
  <si>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</si>
  <si>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</si>
  <si>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</si>
  <si>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</si>
  <si>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</si>
  <si>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</si>
  <si>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</si>
  <si>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</si>
  <si>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</si>
  <si>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</si>
  <si>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</si>
  <si>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</si>
  <si>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</si>
  <si>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</si>
  <si>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</si>
  <si>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</si>
  <si>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</si>
  <si>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</si>
  <si>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</si>
  <si>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</si>
  <si>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</si>
  <si>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</si>
  <si>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</si>
  <si>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</si>
  <si>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</si>
  <si>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</si>
  <si>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</si>
  <si>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</si>
  <si>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</si>
  <si>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</si>
  <si>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</si>
  <si>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</si>
  <si>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</si>
  <si>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</si>
  <si>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</si>
  <si>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</si>
  <si>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</si>
  <si>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</si>
  <si>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</si>
  <si>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</si>
  <si>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</si>
  <si>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</si>
  <si>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</si>
  <si>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</si>
  <si>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</si>
  <si>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</si>
  <si>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</si>
  <si>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</si>
  <si>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</si>
  <si>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</si>
  <si>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</si>
  <si>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</si>
  <si>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</si>
  <si>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</si>
  <si>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</si>
  <si>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</si>
  <si>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</si>
  <si>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</si>
  <si>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</si>
  <si>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</si>
  <si>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</si>
  <si>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</si>
  <si>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</si>
  <si>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</si>
  <si>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</si>
  <si>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</si>
  <si>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</si>
  <si>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</si>
  <si>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</si>
  <si>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</si>
  <si>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</si>
  <si>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</si>
  <si>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</si>
  <si>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</si>
  <si>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</si>
  <si>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</si>
  <si>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</si>
  <si>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</si>
  <si>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</si>
  <si>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</si>
  <si>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</si>
  <si>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</si>
  <si>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</si>
  <si>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</si>
  <si>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</si>
  <si>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</si>
  <si>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</si>
  <si>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</si>
  <si>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</si>
  <si>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</si>
  <si>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</si>
  <si>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</si>
  <si>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</si>
  <si>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</si>
  <si>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</si>
  <si>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</si>
  <si>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</si>
  <si>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</si>
  <si>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</si>
  <si>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</si>
  <si>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</si>
  <si>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</si>
  <si>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</si>
  <si>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</si>
  <si>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</si>
  <si>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</si>
  <si>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</si>
  <si>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</si>
  <si>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</si>
  <si>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</si>
  <si>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</si>
  <si>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</si>
  <si>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</si>
  <si>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</si>
  <si>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</si>
  <si>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</si>
  <si>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</si>
  <si>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</si>
  <si>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</si>
  <si>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</si>
  <si>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</si>
  <si>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</si>
  <si>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</si>
  <si>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</si>
  <si>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</si>
  <si>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</si>
  <si>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</si>
  <si>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</si>
  <si>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</si>
  <si>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</si>
  <si>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</si>
  <si>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</si>
  <si>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</si>
  <si>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</si>
  <si>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</si>
  <si>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</si>
  <si>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</si>
  <si>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</si>
  <si>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</si>
  <si>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</si>
  <si>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</si>
  <si>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</si>
  <si>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</si>
  <si>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</si>
  <si>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</si>
  <si>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</si>
  <si>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</si>
  <si>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</si>
  <si>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</si>
  <si>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</si>
  <si>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</si>
  <si>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</si>
  <si>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</si>
  <si>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</si>
  <si>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</si>
  <si>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</si>
  <si>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</si>
  <si>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</si>
  <si>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</si>
  <si>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</si>
  <si>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</si>
  <si>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</si>
  <si>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</si>
  <si>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</si>
  <si>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</si>
  <si>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</si>
  <si>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</si>
  <si>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</si>
  <si>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</si>
  <si>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</si>
  <si>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</si>
  <si>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</si>
  <si>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</si>
  <si>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</si>
  <si>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</si>
  <si>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</si>
  <si>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</si>
  <si>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</si>
  <si>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</si>
  <si>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</si>
  <si>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</si>
  <si>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</si>
  <si>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</si>
  <si>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</si>
  <si>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</si>
  <si>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</si>
  <si>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</si>
  <si>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</si>
  <si>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</si>
  <si>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</si>
  <si>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</si>
  <si>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</si>
  <si>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</si>
  <si>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</si>
  <si>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</si>
  <si>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</si>
  <si>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</si>
  <si>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</si>
  <si>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</si>
  <si>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</si>
  <si>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</si>
  <si>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</si>
  <si>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</si>
  <si>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</si>
  <si>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</si>
  <si>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</si>
  <si>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</si>
  <si>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</si>
  <si>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</si>
  <si>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</si>
  <si>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</si>
  <si>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</si>
  <si>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</si>
  <si>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</si>
  <si>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</si>
  <si>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</si>
  <si>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</si>
  <si>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</si>
  <si>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</si>
  <si>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</si>
  <si>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</si>
  <si>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</si>
  <si>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</si>
  <si>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</si>
  <si>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</si>
  <si>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</si>
  <si>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</si>
  <si>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</si>
  <si>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</si>
  <si>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</si>
  <si>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</si>
  <si>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</si>
  <si>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</si>
  <si>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</si>
  <si>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</si>
  <si>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</si>
  <si>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</si>
  <si>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</si>
  <si>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</si>
  <si>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</si>
  <si>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</si>
  <si>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</si>
  <si>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</si>
  <si>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</si>
  <si>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</si>
  <si>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</si>
  <si>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</si>
  <si>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</si>
  <si>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</si>
  <si>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</si>
  <si>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</si>
  <si>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</si>
  <si>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</si>
  <si>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</si>
  <si>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</si>
  <si>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</si>
  <si>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</si>
  <si>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</si>
  <si>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</si>
  <si>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</si>
  <si>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</si>
  <si>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</si>
  <si>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</si>
  <si>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</si>
  <si>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</si>
  <si>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</si>
  <si>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</si>
  <si>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</si>
  <si>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</si>
  <si>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</si>
  <si>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</si>
  <si>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</si>
  <si>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</si>
  <si>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</si>
  <si>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</si>
  <si>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</si>
  <si>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</si>
  <si>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</si>
  <si>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</si>
  <si>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</si>
  <si>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</si>
  <si>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</si>
  <si>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</si>
  <si>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</si>
  <si>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</si>
  <si>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</si>
  <si>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</si>
  <si>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</si>
  <si>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</si>
  <si>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</si>
  <si>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</si>
  <si>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</si>
  <si>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</si>
  <si>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</si>
  <si>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</si>
  <si>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</si>
  <si>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</si>
  <si>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</si>
  <si>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</si>
  <si>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</si>
  <si>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</si>
  <si>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</si>
  <si>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</si>
  <si>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</si>
  <si>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</si>
  <si>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</si>
  <si>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</si>
  <si>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</si>
  <si>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</si>
  <si>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</si>
  <si>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</si>
  <si>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</si>
  <si>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</si>
  <si>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</si>
  <si>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</si>
  <si>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</si>
  <si>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</si>
  <si>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</si>
  <si>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</si>
  <si>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</si>
  <si>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</si>
  <si>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</si>
  <si>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</si>
  <si>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</si>
  <si>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</si>
  <si>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</si>
  <si>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</si>
  <si>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</si>
  <si>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</si>
  <si>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</si>
  <si>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</si>
  <si>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</si>
  <si>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</si>
  <si>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</si>
  <si>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</si>
  <si>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</si>
  <si>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</si>
  <si>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</si>
  <si>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</si>
  <si>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</si>
  <si>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</si>
  <si>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</si>
  <si>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</si>
  <si>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</si>
  <si>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</si>
  <si>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</si>
  <si>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</si>
  <si>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</si>
  <si>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</si>
  <si>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</si>
  <si>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</si>
  <si>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</si>
  <si>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</si>
  <si>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</si>
  <si>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</si>
  <si>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</si>
  <si>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</si>
  <si>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</si>
  <si>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</si>
  <si>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</si>
  <si>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</si>
  <si>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</si>
  <si>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</si>
  <si>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</si>
  <si>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</si>
  <si>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</si>
  <si>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</si>
  <si>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</si>
  <si>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</si>
  <si>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</si>
  <si>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</si>
  <si>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</si>
  <si>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</si>
  <si>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</si>
  <si>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</si>
  <si>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</si>
  <si>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</si>
  <si>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</si>
  <si>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</si>
  <si>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</si>
  <si>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</si>
  <si>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</si>
  <si>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</si>
  <si>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</si>
  <si>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</si>
  <si>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</si>
  <si>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</si>
  <si>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</si>
  <si>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</si>
  <si>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</si>
  <si>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</si>
  <si>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</si>
  <si>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</si>
  <si>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</si>
  <si>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</si>
  <si>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</si>
  <si>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</si>
  <si>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</si>
  <si>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</si>
  <si>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</si>
  <si>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</si>
  <si>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</si>
  <si>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</si>
  <si>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</si>
  <si>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</si>
  <si>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</si>
  <si>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</si>
  <si>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</si>
  <si>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</si>
  <si>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</si>
  <si>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</si>
  <si>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</si>
  <si>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</si>
  <si>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</si>
  <si>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</si>
  <si>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</si>
  <si>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</si>
  <si>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</si>
  <si>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</si>
  <si>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</si>
  <si>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</si>
  <si>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</si>
  <si>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</si>
  <si>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</si>
  <si>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</si>
  <si>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</si>
  <si>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</si>
  <si>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</si>
  <si>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</si>
  <si>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</si>
  <si>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</si>
  <si>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</si>
  <si>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</si>
  <si>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</si>
  <si>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</si>
  <si>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</si>
  <si>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</si>
  <si>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</si>
  <si>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</si>
  <si>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</si>
  <si>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</si>
  <si>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</si>
  <si>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</si>
  <si>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</si>
  <si>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</si>
  <si>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</si>
  <si>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</si>
  <si>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</si>
  <si>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</si>
  <si>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</si>
  <si>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</si>
  <si>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</si>
  <si>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</si>
  <si>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</si>
  <si>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</si>
  <si>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</si>
  <si>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</si>
  <si>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</si>
  <si>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</si>
  <si>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</si>
  <si>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</si>
  <si>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</si>
  <si>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</si>
  <si>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</si>
  <si>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</si>
  <si>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</si>
  <si>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</si>
  <si>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</si>
  <si>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</si>
  <si>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</si>
  <si>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</si>
  <si>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</si>
  <si>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</si>
  <si>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</si>
  <si>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</si>
  <si>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</si>
  <si>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</si>
  <si>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</si>
  <si>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</si>
  <si>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</si>
  <si>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</si>
  <si>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</si>
  <si>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</si>
  <si>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</si>
  <si>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</si>
  <si>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</si>
  <si>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</si>
  <si>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</si>
  <si>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</si>
  <si>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</si>
  <si>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</si>
  <si>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</si>
  <si>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</si>
  <si>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</si>
  <si>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</si>
  <si>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</si>
  <si>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</si>
  <si>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</si>
  <si>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</si>
  <si>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</si>
  <si>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</si>
  <si>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</si>
  <si>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</si>
  <si>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</si>
  <si>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</si>
  <si>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</si>
  <si>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</si>
  <si>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</si>
  <si>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</si>
  <si>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</si>
  <si>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</si>
  <si>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</si>
  <si>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</si>
  <si>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</si>
  <si>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</si>
  <si>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</si>
  <si>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</si>
  <si>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</si>
  <si>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</si>
  <si>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</si>
  <si>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</si>
  <si>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</si>
  <si>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</si>
  <si>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</si>
  <si>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</si>
  <si>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</si>
  <si>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</si>
  <si>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</si>
  <si>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</si>
  <si>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</si>
  <si>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</si>
  <si>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</si>
  <si>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</si>
  <si>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</si>
  <si>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</si>
  <si>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</si>
  <si>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</si>
  <si>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</si>
  <si>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</si>
  <si>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</si>
  <si>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</si>
  <si>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</si>
  <si>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</si>
  <si>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</si>
  <si>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</si>
  <si>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</si>
  <si>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</si>
  <si>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</si>
  <si>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</si>
  <si>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</si>
  <si>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</si>
  <si>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</si>
  <si>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</si>
  <si>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</si>
  <si>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</si>
  <si>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</si>
  <si>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</si>
  <si>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</si>
  <si>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</si>
  <si>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</si>
  <si>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</si>
  <si>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</si>
  <si>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</si>
  <si>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</si>
  <si>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</si>
  <si>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</si>
  <si>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</si>
  <si>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</si>
  <si>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</si>
  <si>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</si>
  <si>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</si>
  <si>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</si>
  <si>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</si>
  <si>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</si>
  <si>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</si>
  <si>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</si>
  <si>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</si>
  <si>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</si>
  <si>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</si>
  <si>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</si>
  <si>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</si>
  <si>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</si>
  <si>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</si>
  <si>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</si>
  <si>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</si>
  <si>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</si>
  <si>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</si>
  <si>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</si>
  <si>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</si>
  <si>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</si>
  <si>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</si>
  <si>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</si>
  <si>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</si>
  <si>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</si>
  <si>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</si>
  <si>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</si>
  <si>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</si>
  <si>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</si>
  <si>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</si>
  <si>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</si>
  <si>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</si>
  <si>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</si>
  <si>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</si>
  <si>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</si>
  <si>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</si>
  <si>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</si>
  <si>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</si>
  <si>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</si>
  <si>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</si>
  <si>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</si>
  <si>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</si>
  <si>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</si>
  <si>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</si>
  <si>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</si>
  <si>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</si>
  <si>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</si>
  <si>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</si>
  <si>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</si>
  <si>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</si>
  <si>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</si>
  <si>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</si>
  <si>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</si>
  <si>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</si>
  <si>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</si>
  <si>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</si>
  <si>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</si>
  <si>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</si>
  <si>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</si>
  <si>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</si>
  <si>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</si>
  <si>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</si>
  <si>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</si>
  <si>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</si>
  <si>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</si>
  <si>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</si>
  <si>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</si>
  <si>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</si>
  <si>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</si>
  <si>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</si>
  <si>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</si>
  <si>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</si>
  <si>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</si>
  <si>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</si>
  <si>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</si>
  <si>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</si>
  <si>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</si>
  <si>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</si>
  <si>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</si>
  <si>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</si>
  <si>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</si>
  <si>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</si>
  <si>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</si>
  <si>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</si>
  <si>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</si>
  <si>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</si>
  <si>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</si>
  <si>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</si>
  <si>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</si>
  <si>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</si>
  <si>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</si>
  <si>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</si>
  <si>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</si>
  <si>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</si>
  <si>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</si>
  <si>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</si>
  <si>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</si>
  <si>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</si>
  <si>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</si>
  <si>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</si>
  <si>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</si>
  <si>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</si>
  <si>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</si>
  <si>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</si>
  <si>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</si>
  <si>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</si>
  <si>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</si>
  <si>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</si>
  <si>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</si>
  <si>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</si>
  <si>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</si>
  <si>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</si>
  <si>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</si>
  <si>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</si>
  <si>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</si>
  <si>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</si>
  <si>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</si>
  <si>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</si>
  <si>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</si>
  <si>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</si>
  <si>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</si>
  <si>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</si>
  <si>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</si>
  <si>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</si>
  <si>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</si>
  <si>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</si>
  <si>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</si>
  <si>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</si>
  <si>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</si>
  <si>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</si>
  <si>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</si>
  <si>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</si>
  <si>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</si>
  <si>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</si>
  <si>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</si>
  <si>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</si>
  <si>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</si>
  <si>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</si>
  <si>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</si>
  <si>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</si>
  <si>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</si>
  <si>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</si>
  <si>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</si>
  <si>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</si>
  <si>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</si>
  <si>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</si>
  <si>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</si>
  <si>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</si>
  <si>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</si>
  <si>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</si>
  <si>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</si>
  <si>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</si>
  <si>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</si>
  <si>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</si>
  <si>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</si>
  <si>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</si>
  <si>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</si>
  <si>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</si>
  <si>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</si>
  <si>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</si>
  <si>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</si>
  <si>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</si>
  <si>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</si>
  <si>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</si>
  <si>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</si>
  <si>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</si>
  <si>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</si>
  <si>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</si>
  <si>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</si>
  <si>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</si>
  <si>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</si>
  <si>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</si>
  <si>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</si>
  <si>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</si>
  <si>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</si>
  <si>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</si>
  <si>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</si>
  <si>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</si>
  <si>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</si>
  <si>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</si>
  <si>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</si>
  <si>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</si>
  <si>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</si>
  <si>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</si>
  <si>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</si>
  <si>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</si>
  <si>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</si>
  <si>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</si>
  <si>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</si>
  <si>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</si>
  <si>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</si>
  <si>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</si>
  <si>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</si>
  <si>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</si>
  <si>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</si>
  <si>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</si>
  <si>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</si>
  <si>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</si>
  <si>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</si>
  <si>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</si>
  <si>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</si>
  <si>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</si>
  <si>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</si>
  <si>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</si>
  <si>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</si>
  <si>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</si>
  <si>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</si>
  <si>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</si>
  <si>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</si>
  <si>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</si>
  <si>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</si>
  <si>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</si>
  <si>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</si>
  <si>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</si>
  <si>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</si>
  <si>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</si>
  <si>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</si>
  <si>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</si>
  <si>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</si>
  <si>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</si>
  <si>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</si>
  <si>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</si>
  <si>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</si>
  <si>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</si>
  <si>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</si>
  <si>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</si>
  <si>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</si>
  <si>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</si>
  <si>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</si>
  <si>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</si>
  <si>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</si>
  <si>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</si>
  <si>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</si>
  <si>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</si>
  <si>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</si>
  <si>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</si>
  <si>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</si>
  <si>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</si>
  <si>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</si>
  <si>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</si>
  <si>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</si>
  <si>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</si>
  <si>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</si>
  <si>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</si>
  <si>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</si>
  <si>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</si>
  <si>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</si>
  <si>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</si>
  <si>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</si>
  <si>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</si>
  <si>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</si>
  <si>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</si>
  <si>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</si>
  <si>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</si>
  <si>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</si>
  <si>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</si>
  <si>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</si>
  <si>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</si>
  <si>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</si>
  <si>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</si>
  <si>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</si>
  <si>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</si>
  <si>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</si>
  <si>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</si>
  <si>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</si>
  <si>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</si>
  <si>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</si>
  <si>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</si>
  <si>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</si>
  <si>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</si>
  <si>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</si>
  <si>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</si>
  <si>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</si>
  <si>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</si>
  <si>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</si>
  <si>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</si>
  <si>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</si>
  <si>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</si>
  <si>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</si>
  <si>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</si>
  <si>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</si>
  <si>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</si>
  <si>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</si>
  <si>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</si>
  <si>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</si>
  <si>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</si>
  <si>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</si>
  <si>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</si>
  <si>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</si>
  <si>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</si>
  <si>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</si>
  <si>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</si>
  <si>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</si>
  <si>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</si>
  <si>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</si>
  <si>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</si>
  <si>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</si>
  <si>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</si>
  <si>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</si>
  <si>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</si>
  <si>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</si>
  <si>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</si>
  <si>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</si>
  <si>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</si>
  <si>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</si>
  <si>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</si>
  <si>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</si>
  <si>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</si>
  <si>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</si>
  <si>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</si>
  <si>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</si>
  <si>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</si>
  <si>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</si>
  <si>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</si>
  <si>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</si>
  <si>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</si>
  <si>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</si>
  <si>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</si>
  <si>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</si>
  <si>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</si>
  <si>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</si>
  <si>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</si>
  <si>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</si>
  <si>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</si>
  <si>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</si>
  <si>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</si>
  <si>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</si>
  <si>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</si>
  <si>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</si>
  <si>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</si>
  <si>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</si>
  <si>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</si>
  <si>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</si>
  <si>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</si>
  <si>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</si>
  <si>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</si>
  <si>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</si>
  <si>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</si>
  <si>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</si>
  <si>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</si>
  <si>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</si>
  <si>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</si>
  <si>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</si>
  <si>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</si>
  <si>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</si>
  <si>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</si>
  <si>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</si>
  <si>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</si>
  <si>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</si>
  <si>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</si>
  <si>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</si>
  <si>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</si>
  <si>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</si>
  <si>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</si>
  <si>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</si>
  <si>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</si>
  <si>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</si>
  <si>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</si>
  <si>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</si>
  <si>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</si>
  <si>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</si>
  <si>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</si>
  <si>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</si>
  <si>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</si>
  <si>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</si>
  <si>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</si>
  <si>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</si>
  <si>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</si>
  <si>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</si>
  <si>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</si>
  <si>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</si>
  <si>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</si>
  <si>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</si>
  <si>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</si>
  <si>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</si>
  <si>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</si>
  <si>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</si>
  <si>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</si>
  <si>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</si>
  <si>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</si>
  <si>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</si>
  <si>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</si>
  <si>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</si>
  <si>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</si>
  <si>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</si>
  <si>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</si>
  <si>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</si>
  <si>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</si>
  <si>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</si>
  <si>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</si>
  <si>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</si>
  <si>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</si>
  <si>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</si>
  <si>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</si>
  <si>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</si>
  <si>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</si>
  <si>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</si>
  <si>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</si>
  <si>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</si>
  <si>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</si>
  <si>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</si>
  <si>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</si>
  <si>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</si>
  <si>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</si>
  <si>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</si>
  <si>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</si>
  <si>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</si>
  <si>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</si>
  <si>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</si>
  <si>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</si>
  <si>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</si>
  <si>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</si>
  <si>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</si>
  <si>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</si>
  <si>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</si>
  <si>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</si>
  <si>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</si>
  <si>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</si>
  <si>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</si>
  <si>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</si>
  <si>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</si>
  <si>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</si>
  <si>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</si>
  <si>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</si>
  <si>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</si>
  <si>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</si>
  <si>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</si>
  <si>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</si>
  <si>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</si>
  <si>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</si>
  <si>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</si>
  <si>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</si>
  <si>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</si>
  <si>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</si>
  <si>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</si>
  <si>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</si>
  <si>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</si>
  <si>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</si>
  <si>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</si>
  <si>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</si>
  <si>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</si>
  <si>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</si>
  <si>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</si>
  <si>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</si>
  <si>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</si>
  <si>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</si>
  <si>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</si>
  <si>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</si>
  <si>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</si>
  <si>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</si>
  <si>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</si>
  <si>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</si>
  <si>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</si>
  <si>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</si>
  <si>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</si>
  <si>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</si>
  <si>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</si>
  <si>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</si>
  <si>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</si>
  <si>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</si>
  <si>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</si>
  <si>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</si>
  <si>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</si>
  <si>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</si>
  <si>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</si>
  <si>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</si>
  <si>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</si>
  <si>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</si>
  <si>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</si>
  <si>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</si>
  <si>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</si>
  <si>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</si>
  <si>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</si>
  <si>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</si>
  <si>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</si>
  <si>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</si>
  <si>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</si>
  <si>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</si>
  <si>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</si>
  <si>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</si>
  <si>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</si>
  <si>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</si>
  <si>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</si>
  <si>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</si>
  <si>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</si>
  <si>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</si>
  <si>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</si>
  <si>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</si>
  <si>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</si>
  <si>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</si>
  <si>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</si>
  <si>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</si>
  <si>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</si>
  <si>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</si>
  <si>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</si>
  <si>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</si>
  <si>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</si>
  <si>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</si>
  <si>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</si>
  <si>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</si>
  <si>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</si>
  <si>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</si>
  <si>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</si>
  <si>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</si>
  <si>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</si>
  <si>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</si>
  <si>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</si>
  <si>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</si>
  <si>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</si>
  <si>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</si>
  <si>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</si>
  <si>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</si>
  <si>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</si>
  <si>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</si>
  <si>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</si>
  <si>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</si>
  <si>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</si>
  <si>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</si>
  <si>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</si>
  <si>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</si>
  <si>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</si>
  <si>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</si>
  <si>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</si>
  <si>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</si>
  <si>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</si>
  <si>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</si>
  <si>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</si>
  <si>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</si>
  <si>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</si>
  <si>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</si>
  <si>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</si>
  <si>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</si>
  <si>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</si>
  <si>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</si>
  <si>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</si>
  <si>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</si>
  <si>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</si>
  <si>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</si>
  <si>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</si>
  <si>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</si>
  <si>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</si>
  <si>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</si>
  <si>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</si>
  <si>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</si>
  <si>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</si>
  <si>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</si>
  <si>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</si>
  <si>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</si>
  <si>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</si>
  <si>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</si>
  <si>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</si>
  <si>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</si>
  <si>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</si>
  <si>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</si>
  <si>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</si>
  <si>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</si>
  <si>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</si>
  <si>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</si>
  <si>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</si>
  <si>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</si>
  <si>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</si>
  <si>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</si>
  <si>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</si>
  <si>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</si>
  <si>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</si>
  <si>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</si>
  <si>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</si>
  <si>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</si>
  <si>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</si>
  <si>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</si>
  <si>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</si>
  <si>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</si>
  <si>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</si>
  <si>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</si>
  <si>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</si>
  <si>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</si>
  <si>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</si>
  <si>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</si>
  <si>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</si>
  <si>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</si>
  <si>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</si>
  <si>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</si>
  <si>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</si>
  <si>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</si>
  <si>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</si>
  <si>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</si>
  <si>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</si>
  <si>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</si>
  <si>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</si>
  <si>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</si>
  <si>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</si>
  <si>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</si>
  <si>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</si>
  <si>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</si>
  <si>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</si>
  <si>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</si>
  <si>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</si>
  <si>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</si>
  <si>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</si>
  <si>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</si>
  <si>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</si>
  <si>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</si>
  <si>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</si>
  <si>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</si>
  <si>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</si>
  <si>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</si>
  <si>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</si>
  <si>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</si>
  <si>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</si>
  <si>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</si>
  <si>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</si>
  <si>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</si>
  <si>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</si>
  <si>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</si>
  <si>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</si>
  <si>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</si>
  <si>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</si>
  <si>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</si>
  <si>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</si>
  <si>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</si>
  <si>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</si>
  <si>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</si>
  <si>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</si>
  <si>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</si>
  <si>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</si>
  <si>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</si>
  <si>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</si>
  <si>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</si>
  <si>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</si>
  <si>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</si>
  <si>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</si>
  <si>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</si>
  <si>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</si>
  <si>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</si>
  <si>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</si>
  <si>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</si>
  <si>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</si>
  <si>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</si>
  <si>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</si>
  <si>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</si>
  <si>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</si>
  <si>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</si>
  <si>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</si>
  <si>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</si>
  <si>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</si>
  <si>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</si>
  <si>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</si>
  <si>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</si>
  <si>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</si>
  <si>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</si>
  <si>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</si>
  <si>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</si>
  <si>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</si>
  <si>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</si>
  <si>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</si>
  <si>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</si>
  <si>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</si>
  <si>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</si>
  <si>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</si>
  <si>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</si>
  <si>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</si>
  <si>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</si>
  <si>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</si>
  <si>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</si>
  <si>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</si>
  <si>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</si>
  <si>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</si>
  <si>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</si>
  <si>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</si>
  <si>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</si>
  <si>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</si>
  <si>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</si>
  <si>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</si>
  <si>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</si>
  <si>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</si>
  <si>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</si>
  <si>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</si>
  <si>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</si>
  <si>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</si>
  <si>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</si>
  <si>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</si>
  <si>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</si>
  <si>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</si>
  <si>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</si>
  <si>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</si>
  <si>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</si>
  <si>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</si>
  <si>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</si>
  <si>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</si>
  <si>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</si>
  <si>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</si>
  <si>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</si>
  <si>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</si>
  <si>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</si>
  <si>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</si>
  <si>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</si>
  <si>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</si>
  <si>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</si>
  <si>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</si>
  <si>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</si>
  <si>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</si>
  <si>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</si>
  <si>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</si>
  <si>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</si>
  <si>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</si>
  <si>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</si>
  <si>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</si>
  <si>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</si>
  <si>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</si>
  <si>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</si>
  <si>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</si>
  <si>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</si>
  <si>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</si>
  <si>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</si>
  <si>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</si>
  <si>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</si>
  <si>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</si>
  <si>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</si>
  <si>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</si>
  <si>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</si>
  <si>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</si>
  <si>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</si>
  <si>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</si>
  <si>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</si>
  <si>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</si>
  <si>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</si>
  <si>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</si>
  <si>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</si>
  <si>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</si>
  <si>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</si>
  <si>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</si>
  <si>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</si>
  <si>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</si>
  <si>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</si>
  <si>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</si>
  <si>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</si>
  <si>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</si>
  <si>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</si>
  <si>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</si>
  <si>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</si>
  <si>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</si>
  <si>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</si>
  <si>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</si>
  <si>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</si>
  <si>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</si>
  <si>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</si>
  <si>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</si>
  <si>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</si>
  <si>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</si>
  <si>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</si>
  <si>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</si>
  <si>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</si>
  <si>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</si>
  <si>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</si>
  <si>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</si>
  <si>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</si>
  <si>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</si>
  <si>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</si>
  <si>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</si>
  <si>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</si>
  <si>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</si>
  <si>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</si>
  <si>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</si>
  <si>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</si>
  <si>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</si>
  <si>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</si>
  <si>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</si>
  <si>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</si>
  <si>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</si>
  <si>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</si>
  <si>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</si>
  <si>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</si>
  <si>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</si>
  <si>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</si>
  <si>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</si>
  <si>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</si>
  <si>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</si>
  <si>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</si>
  <si>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</si>
  <si>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</si>
  <si>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</si>
  <si>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</si>
  <si>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</si>
  <si>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</si>
  <si>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</si>
  <si>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</si>
  <si>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</si>
  <si>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</si>
  <si>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</si>
  <si>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</si>
  <si>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</si>
  <si>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</si>
  <si>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</si>
  <si>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</si>
  <si>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</si>
  <si>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</si>
  <si>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</si>
  <si>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</si>
  <si>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</si>
  <si>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</si>
  <si>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</si>
  <si>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</si>
  <si>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</si>
  <si>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</si>
  <si>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</si>
  <si>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</si>
  <si>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</si>
  <si>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</si>
  <si>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</si>
  <si>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</si>
  <si>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</si>
  <si>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</si>
  <si>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</si>
  <si>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</si>
  <si>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</si>
  <si>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</si>
  <si>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</si>
  <si>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</si>
  <si>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</si>
  <si>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</si>
  <si>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</si>
  <si>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</si>
  <si>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</si>
  <si>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</si>
  <si>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</si>
  <si>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</si>
  <si>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</si>
  <si>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</si>
  <si>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</si>
  <si>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</si>
  <si>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</si>
  <si>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</si>
  <si>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</si>
  <si>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</si>
  <si>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</si>
  <si>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</si>
  <si>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</si>
  <si>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</si>
  <si>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</si>
  <si>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</si>
  <si>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</si>
  <si>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</si>
  <si>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</si>
  <si>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</si>
  <si>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</si>
  <si>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</si>
  <si>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</si>
  <si>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</si>
  <si>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</si>
  <si>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</si>
  <si>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</si>
  <si>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</si>
  <si>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</si>
  <si>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</si>
  <si>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</si>
  <si>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</si>
  <si>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</si>
  <si>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</si>
  <si>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</si>
  <si>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</si>
  <si>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</si>
  <si>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</si>
  <si>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</si>
  <si>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</si>
  <si>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</si>
  <si>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</si>
  <si>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</si>
  <si>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</si>
  <si>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</si>
  <si>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</si>
  <si>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</si>
  <si>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</si>
  <si>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</si>
  <si>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</si>
  <si>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</si>
  <si>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</si>
  <si>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</si>
  <si>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</si>
  <si>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</si>
  <si>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</si>
  <si>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</si>
  <si>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</si>
  <si>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</si>
  <si>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</si>
  <si>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</si>
  <si>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</si>
  <si>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</si>
  <si>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</si>
  <si>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</si>
  <si>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</si>
  <si>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</si>
  <si>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</si>
  <si>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</si>
  <si>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</si>
  <si>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</si>
  <si>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</si>
  <si>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</si>
  <si>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</si>
  <si>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</si>
  <si>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</si>
  <si>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</si>
  <si>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</si>
  <si>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</si>
  <si>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</si>
  <si>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</si>
  <si>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</si>
  <si>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</si>
  <si>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</si>
  <si>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</si>
  <si>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</si>
  <si>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</si>
  <si>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</si>
  <si>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</si>
  <si>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</si>
  <si>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</si>
  <si>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</si>
  <si>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</si>
  <si>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</si>
  <si>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</si>
  <si>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</si>
  <si>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</si>
  <si>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</si>
  <si>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</si>
  <si>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</si>
  <si>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</si>
  <si>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</si>
  <si>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</si>
  <si>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</si>
  <si>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</si>
  <si>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</si>
  <si>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</si>
  <si>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</si>
  <si>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</si>
  <si>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</si>
  <si>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Total Orders</t>
  </si>
  <si>
    <t>🛒</t>
  </si>
  <si>
    <t>👕</t>
  </si>
  <si>
    <t>💰</t>
  </si>
  <si>
    <t>⭐</t>
  </si>
  <si>
    <t>📅</t>
  </si>
  <si>
    <t>Row Labels</t>
  </si>
  <si>
    <t>Grand Total</t>
  </si>
  <si>
    <t>Jan</t>
  </si>
  <si>
    <t>Feb</t>
  </si>
  <si>
    <t>Mar</t>
  </si>
  <si>
    <t>Sum of Amount</t>
  </si>
  <si>
    <t>Sales Trend Over Time</t>
  </si>
  <si>
    <t>Top 10 Best Selling Products</t>
  </si>
  <si>
    <t>Female</t>
  </si>
  <si>
    <t xml:space="preserve"> Sales By Order Mode</t>
  </si>
  <si>
    <t>Sales by Gender</t>
  </si>
  <si>
    <t>Order Status</t>
  </si>
  <si>
    <t>Delivered</t>
  </si>
  <si>
    <t>Refunded</t>
  </si>
  <si>
    <t>Reordered</t>
  </si>
  <si>
    <t>Cancelled</t>
  </si>
  <si>
    <t>Orderd By status</t>
  </si>
  <si>
    <t>Average Delivery's By Months</t>
  </si>
  <si>
    <t xml:space="preserve">    </t>
  </si>
  <si>
    <t xml:space="preserve">  </t>
  </si>
  <si>
    <t>KPI Name</t>
  </si>
  <si>
    <t>Enter Formulas</t>
  </si>
  <si>
    <t>Total Revenue</t>
  </si>
  <si>
    <t>Total Quantity Sold</t>
  </si>
  <si>
    <t>Average Rating</t>
  </si>
  <si>
    <t>Average Delivery Time</t>
  </si>
  <si>
    <t>(blank)</t>
  </si>
  <si>
    <t>Sum of Days to Deliver</t>
  </si>
  <si>
    <t>Male</t>
  </si>
  <si>
    <t>Other</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</si>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</sst>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15"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microsoft.com/office/2007/relationships/slicerCache" Target="slicerCaches/slicerCache9.xml"/><Relationship Id="rId23" Type="http://schemas.openxmlformats.org/officeDocument/2006/relationships/calcChain" Target="calcChain.xml"/><Relationship Id="rId10" Type="http://schemas.microsoft.com/office/2007/relationships/slicerCache" Target="slicerCaches/slicerCache4.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Performance.xlsx]pivot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Best selling products</a:t>
            </a:r>
            <a:endParaRPr lang="en-US" b="1"/>
          </a:p>
        </c:rich>
      </c:tx>
      <c:layout>
        <c:manualLayout>
          <c:xMode val="edge"/>
          <c:yMode val="edge"/>
          <c:x val="0.18973823062661296"/>
          <c:y val="5.73163998926666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tables'!$C$20</c:f>
              <c:strCache>
                <c:ptCount val="1"/>
                <c:pt idx="0">
                  <c:v>Total</c:v>
                </c:pt>
              </c:strCache>
            </c:strRef>
          </c:tx>
          <c:spPr>
            <a:solidFill>
              <a:schemeClr val="accent1"/>
            </a:solidFill>
            <a:ln>
              <a:noFill/>
            </a:ln>
            <a:effectLst/>
          </c:spPr>
          <c:invertIfNegative val="0"/>
          <c:cat>
            <c:strRef>
              <c:f>'pivot tables'!$B$21:$B$31</c:f>
              <c:strCache>
                <c:ptCount val="10"/>
                <c:pt idx="0">
                  <c:v>Bikinis</c:v>
                </c:pt>
                <c:pt idx="1">
                  <c:v>Graphic Tees</c:v>
                </c:pt>
                <c:pt idx="2">
                  <c:v>Hoodies &amp; Sweatshirts</c:v>
                </c:pt>
                <c:pt idx="3">
                  <c:v>Jeans</c:v>
                </c:pt>
                <c:pt idx="4">
                  <c:v>Sandals</c:v>
                </c:pt>
                <c:pt idx="5">
                  <c:v>Shorts</c:v>
                </c:pt>
                <c:pt idx="6">
                  <c:v>Sneakers</c:v>
                </c:pt>
                <c:pt idx="7">
                  <c:v>Sundresses</c:v>
                </c:pt>
                <c:pt idx="8">
                  <c:v>Tank Tops</c:v>
                </c:pt>
                <c:pt idx="9">
                  <c:v>T-Shirts</c:v>
                </c:pt>
              </c:strCache>
            </c:strRef>
          </c:cat>
          <c:val>
            <c:numRef>
              <c:f>'pivot tables'!$C$21:$C$31</c:f>
              <c:numCache>
                <c:formatCode>General</c:formatCode>
                <c:ptCount val="10"/>
                <c:pt idx="0">
                  <c:v>807</c:v>
                </c:pt>
                <c:pt idx="1">
                  <c:v>647</c:v>
                </c:pt>
                <c:pt idx="2">
                  <c:v>606</c:v>
                </c:pt>
                <c:pt idx="3">
                  <c:v>1546</c:v>
                </c:pt>
                <c:pt idx="4">
                  <c:v>603</c:v>
                </c:pt>
                <c:pt idx="5">
                  <c:v>745</c:v>
                </c:pt>
                <c:pt idx="6">
                  <c:v>1186</c:v>
                </c:pt>
                <c:pt idx="7">
                  <c:v>700</c:v>
                </c:pt>
                <c:pt idx="8">
                  <c:v>912</c:v>
                </c:pt>
                <c:pt idx="9">
                  <c:v>1645</c:v>
                </c:pt>
              </c:numCache>
            </c:numRef>
          </c:val>
          <c:extLst>
            <c:ext xmlns:c16="http://schemas.microsoft.com/office/drawing/2014/chart" uri="{C3380CC4-5D6E-409C-BE32-E72D297353CC}">
              <c16:uniqueId val="{00000000-E04B-4E61-8DA0-A7EF9271D45F}"/>
            </c:ext>
          </c:extLst>
        </c:ser>
        <c:dLbls>
          <c:showLegendKey val="0"/>
          <c:showVal val="0"/>
          <c:showCatName val="0"/>
          <c:showSerName val="0"/>
          <c:showPercent val="0"/>
          <c:showBubbleSize val="0"/>
        </c:dLbls>
        <c:gapWidth val="182"/>
        <c:axId val="1544568576"/>
        <c:axId val="1700746576"/>
      </c:barChart>
      <c:catAx>
        <c:axId val="154456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746576"/>
        <c:crosses val="autoZero"/>
        <c:auto val="1"/>
        <c:lblAlgn val="ctr"/>
        <c:lblOffset val="100"/>
        <c:noMultiLvlLbl val="0"/>
      </c:catAx>
      <c:valAx>
        <c:axId val="1700746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6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Performance.xlsx]pivot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Order Mode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tables'!$C$48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8B-42CB-A172-36C4B8EC75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8B-42CB-A172-36C4B8EC75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8B-42CB-A172-36C4B8EC75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8B-42CB-A172-36C4B8EC75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48B-42CB-A172-36C4B8EC75F6}"/>
              </c:ext>
            </c:extLst>
          </c:dPt>
          <c:cat>
            <c:strRef>
              <c:f>'pivot tables'!$B$49:$B$54</c:f>
              <c:strCache>
                <c:ptCount val="5"/>
                <c:pt idx="0">
                  <c:v>App</c:v>
                </c:pt>
                <c:pt idx="1">
                  <c:v>Instagram</c:v>
                </c:pt>
                <c:pt idx="2">
                  <c:v>Partner App</c:v>
                </c:pt>
                <c:pt idx="3">
                  <c:v>Target.com</c:v>
                </c:pt>
                <c:pt idx="4">
                  <c:v>Website</c:v>
                </c:pt>
              </c:strCache>
            </c:strRef>
          </c:cat>
          <c:val>
            <c:numRef>
              <c:f>'pivot tables'!$C$49:$C$54</c:f>
              <c:numCache>
                <c:formatCode>General</c:formatCode>
                <c:ptCount val="5"/>
                <c:pt idx="0">
                  <c:v>4220</c:v>
                </c:pt>
                <c:pt idx="1">
                  <c:v>1415</c:v>
                </c:pt>
                <c:pt idx="2">
                  <c:v>1388</c:v>
                </c:pt>
                <c:pt idx="3">
                  <c:v>2308</c:v>
                </c:pt>
                <c:pt idx="4">
                  <c:v>2666</c:v>
                </c:pt>
              </c:numCache>
            </c:numRef>
          </c:val>
          <c:extLst>
            <c:ext xmlns:c16="http://schemas.microsoft.com/office/drawing/2014/chart" uri="{C3380CC4-5D6E-409C-BE32-E72D297353CC}">
              <c16:uniqueId val="{0000000A-948B-42CB-A172-36C4B8EC75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540552501218163"/>
          <c:y val="0.34535143992374667"/>
          <c:w val="0.27712607192956795"/>
          <c:h val="0.49641784991805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[Online Retail Performance.xlsx]pivot tables!PivotTable1</c:name>
    <c:fmtId val="22"/>
  </c:pivotSource>
  <c:chart>
    <c:autoTitleDeleted val="1"/>
    <c:pivotFmts>
      <c:pivotFmt>
        <c:idx val="0"/>
      </c:pivotFmt>
      <c:pivotFmt>
        <c:idx val="1"/>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0.17395277415954866"/>
          <c:y val="0.26364597543270402"/>
          <c:w val="0.54984297210101962"/>
          <c:h val="0.45151095445896727"/>
        </c:manualLayout>
      </c:layout>
      <c:lineChart>
        <c:grouping val="stacked"/>
        <c:varyColors val="0"/>
        <c:ser>
          <c:idx val="0"/>
          <c:order val="0"/>
          <c:tx>
            <c:strRef>
              <c:f>'pivot tables'!$B$3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tables'!$A$4:$A$7</c:f>
              <c:strCache>
                <c:ptCount val="3"/>
                <c:pt idx="0">
                  <c:v>Jan</c:v>
                </c:pt>
                <c:pt idx="1">
                  <c:v>Feb</c:v>
                </c:pt>
                <c:pt idx="2">
                  <c:v>Mar</c:v>
                </c:pt>
              </c:strCache>
            </c:strRef>
          </c:cat>
          <c:val>
            <c:numRef>
              <c:f>'pivot tables'!$B$4:$B$7</c:f>
              <c:numCache>
                <c:formatCode>General</c:formatCode>
                <c:ptCount val="3"/>
                <c:pt idx="0">
                  <c:v>71525.599999999962</c:v>
                </c:pt>
                <c:pt idx="1">
                  <c:v>78704.79999999993</c:v>
                </c:pt>
                <c:pt idx="2">
                  <c:v>90676.200000000012</c:v>
                </c:pt>
              </c:numCache>
            </c:numRef>
          </c:val>
          <c:smooth val="0"/>
          <c:extLst>
            <c:ext xmlns:c16="http://schemas.microsoft.com/office/drawing/2014/chart" uri="{C3380CC4-5D6E-409C-BE32-E72D297353CC}">
              <c16:uniqueId val="{00000000-6E76-4EFF-98D2-32DF13484567}"/>
            </c:ext>
          </c:extLst>
        </c:ser>
        <c:dLbls>
          <c:showLegendKey val="0"/>
          <c:showVal val="0"/>
          <c:showCatName val="0"/>
          <c:showSerName val="0"/>
          <c:showPercent val="0"/>
          <c:showBubbleSize val="0"/>
        </c:dLbls>
        <c:marker val="1"/>
        <c:smooth val="0"/>
        <c:axId val="1377706624"/>
        <c:axId val="1697244464"/>
      </c:lineChart>
      <c:catAx>
        <c:axId val="137770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244464"/>
        <c:crosses val="autoZero"/>
        <c:auto val="1"/>
        <c:lblAlgn val="ctr"/>
        <c:lblOffset val="100"/>
        <c:noMultiLvlLbl val="0"/>
      </c:catAx>
      <c:valAx>
        <c:axId val="169724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706624"/>
        <c:crosses val="autoZero"/>
        <c:crossBetween val="between"/>
      </c:valAx>
      <c:spPr>
        <a:noFill/>
        <a:ln>
          <a:noFill/>
        </a:ln>
        <a:effectLst/>
      </c:spPr>
    </c:plotArea>
    <c:legend>
      <c:legendPos val="r"/>
      <c:layout>
        <c:manualLayout>
          <c:xMode val="edge"/>
          <c:yMode val="edge"/>
          <c:x val="0.76912907440182399"/>
          <c:y val="0.33555004002701172"/>
          <c:w val="0.20614365570294566"/>
          <c:h val="0.24936723922167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Performance.xlsx]pivot 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Products</a:t>
            </a:r>
            <a:endParaRPr lang="en-US" sz="1600" b="1"/>
          </a:p>
        </c:rich>
      </c:tx>
      <c:layout>
        <c:manualLayout>
          <c:xMode val="edge"/>
          <c:yMode val="edge"/>
          <c:x val="0.26476803537176108"/>
          <c:y val="3.25769458973785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manualLayout>
          <c:layoutTarget val="inner"/>
          <c:xMode val="edge"/>
          <c:yMode val="edge"/>
          <c:x val="9.2608486439195101E-2"/>
          <c:y val="0.17374999999999999"/>
          <c:w val="0.45963888888888887"/>
          <c:h val="0.76606481481481481"/>
        </c:manualLayout>
      </c:layout>
      <c:pieChart>
        <c:varyColors val="1"/>
        <c:ser>
          <c:idx val="0"/>
          <c:order val="0"/>
          <c:tx>
            <c:strRef>
              <c:f>'pivot tables'!$D$116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73-4925-9929-002DC10BBA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73-4925-9929-002DC10BBA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73-4925-9929-002DC10BBA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73-4925-9929-002DC10BBA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73-4925-9929-002DC10BBA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73-4925-9929-002DC10BBA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073-4925-9929-002DC10BBAB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073-4925-9929-002DC10BBAB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073-4925-9929-002DC10BBAB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073-4925-9929-002DC10BBAB2}"/>
              </c:ext>
            </c:extLst>
          </c:dPt>
          <c:cat>
            <c:strRef>
              <c:f>'pivot tables'!$C$117:$C$127</c:f>
              <c:strCache>
                <c:ptCount val="10"/>
                <c:pt idx="0">
                  <c:v>Bikinis</c:v>
                </c:pt>
                <c:pt idx="1">
                  <c:v>Crop Tops</c:v>
                </c:pt>
                <c:pt idx="2">
                  <c:v>Hoodies &amp; Sweatshirts</c:v>
                </c:pt>
                <c:pt idx="3">
                  <c:v>Jeans</c:v>
                </c:pt>
                <c:pt idx="4">
                  <c:v>Leggings</c:v>
                </c:pt>
                <c:pt idx="5">
                  <c:v>Sandals</c:v>
                </c:pt>
                <c:pt idx="6">
                  <c:v>Sneakers</c:v>
                </c:pt>
                <c:pt idx="7">
                  <c:v>Sundresses</c:v>
                </c:pt>
                <c:pt idx="8">
                  <c:v>Tank Tops</c:v>
                </c:pt>
                <c:pt idx="9">
                  <c:v>T-Shirts</c:v>
                </c:pt>
              </c:strCache>
            </c:strRef>
          </c:cat>
          <c:val>
            <c:numRef>
              <c:f>'pivot tables'!$D$117:$D$127</c:f>
              <c:numCache>
                <c:formatCode>General</c:formatCode>
                <c:ptCount val="10"/>
                <c:pt idx="0">
                  <c:v>11586.300000000003</c:v>
                </c:pt>
                <c:pt idx="1">
                  <c:v>11228.899999999998</c:v>
                </c:pt>
                <c:pt idx="2">
                  <c:v>17923.5</c:v>
                </c:pt>
                <c:pt idx="3">
                  <c:v>42448.80000000001</c:v>
                </c:pt>
                <c:pt idx="4">
                  <c:v>8705.9</c:v>
                </c:pt>
                <c:pt idx="5">
                  <c:v>13832.000000000004</c:v>
                </c:pt>
                <c:pt idx="6">
                  <c:v>42922.100000000013</c:v>
                </c:pt>
                <c:pt idx="7">
                  <c:v>8644.9</c:v>
                </c:pt>
                <c:pt idx="8">
                  <c:v>18378.100000000002</c:v>
                </c:pt>
                <c:pt idx="9">
                  <c:v>20907.900000000005</c:v>
                </c:pt>
              </c:numCache>
            </c:numRef>
          </c:val>
          <c:extLst>
            <c:ext xmlns:c16="http://schemas.microsoft.com/office/drawing/2014/chart" uri="{C3380CC4-5D6E-409C-BE32-E72D297353CC}">
              <c16:uniqueId val="{00000014-F073-4925-9929-002DC10BBA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Order</a:t>
            </a:r>
            <a:r>
              <a:rPr lang="en-US" sz="1600" b="1" baseline="0"/>
              <a:t> By staus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cat>
            <c:strLit>
              <c:ptCount val="1"/>
              <c:pt idx="0">
                <c:v>Cancelled</c:v>
              </c:pt>
            </c:strLit>
          </c:cat>
          <c:val>
            <c:numLit>
              <c:formatCode>General</c:formatCode>
              <c:ptCount val="1"/>
              <c:pt idx="0">
                <c:v>29436.299999999977</c:v>
              </c:pt>
            </c:numLit>
          </c:val>
          <c:extLst>
            <c:ext xmlns:c16="http://schemas.microsoft.com/office/drawing/2014/chart" uri="{C3380CC4-5D6E-409C-BE32-E72D297353CC}">
              <c16:uniqueId val="{00000000-08EB-446E-8582-DBB05E0EC79C}"/>
            </c:ext>
          </c:extLst>
        </c:ser>
        <c:dLbls>
          <c:showLegendKey val="0"/>
          <c:showVal val="0"/>
          <c:showCatName val="0"/>
          <c:showSerName val="0"/>
          <c:showPercent val="0"/>
          <c:showBubbleSize val="0"/>
        </c:dLbls>
        <c:gapWidth val="150"/>
        <c:axId val="1895429407"/>
        <c:axId val="1905514399"/>
      </c:barChart>
      <c:catAx>
        <c:axId val="189542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14399"/>
        <c:crosses val="autoZero"/>
        <c:auto val="1"/>
        <c:lblAlgn val="ctr"/>
        <c:lblOffset val="100"/>
        <c:noMultiLvlLbl val="0"/>
      </c:catAx>
      <c:valAx>
        <c:axId val="19055143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42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s>
    <c:plotArea>
      <c:layout/>
      <c:barChart>
        <c:barDir val="bar"/>
        <c:grouping val="clustered"/>
        <c:varyColors val="0"/>
        <c:ser>
          <c:idx val="0"/>
          <c:order val="0"/>
          <c:tx>
            <c:v>Total</c:v>
          </c:tx>
          <c:spPr>
            <a:solidFill>
              <a:schemeClr val="accent1"/>
            </a:solidFill>
            <a:ln w="19050">
              <a:solidFill>
                <a:schemeClr val="lt1"/>
              </a:solidFill>
            </a:ln>
            <a:effectLst/>
          </c:spPr>
          <c:invertIfNegative val="0"/>
          <c:cat>
            <c:strLit>
              <c:ptCount val="4"/>
              <c:pt idx="1">
                <c:v>F</c:v>
              </c:pt>
              <c:pt idx="2">
                <c:v>M</c:v>
              </c:pt>
              <c:pt idx="3">
                <c:v>O</c:v>
              </c:pt>
            </c:strLit>
          </c:cat>
          <c:val>
            <c:numLit>
              <c:formatCode>General</c:formatCode>
              <c:ptCount val="4"/>
              <c:pt idx="0">
                <c:v>47699.30000000001</c:v>
              </c:pt>
              <c:pt idx="1">
                <c:v>342147.10000000009</c:v>
              </c:pt>
              <c:pt idx="2">
                <c:v>242893.69999999992</c:v>
              </c:pt>
              <c:pt idx="3">
                <c:v>16279.699999999993</c:v>
              </c:pt>
            </c:numLit>
          </c:val>
          <c:extLst>
            <c:ext xmlns:c16="http://schemas.microsoft.com/office/drawing/2014/chart" uri="{C3380CC4-5D6E-409C-BE32-E72D297353CC}">
              <c16:uniqueId val="{00000000-B608-4E75-AA44-51D1440B325E}"/>
            </c:ext>
          </c:extLst>
        </c:ser>
        <c:dLbls>
          <c:showLegendKey val="0"/>
          <c:showVal val="0"/>
          <c:showCatName val="0"/>
          <c:showSerName val="0"/>
          <c:showPercent val="0"/>
          <c:showBubbleSize val="0"/>
        </c:dLbls>
        <c:gapWidth val="150"/>
        <c:axId val="1895435519"/>
        <c:axId val="1905490271"/>
      </c:barChart>
      <c:valAx>
        <c:axId val="1905490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435519"/>
        <c:crosses val="autoZero"/>
        <c:crossBetween val="between"/>
      </c:valAx>
      <c:catAx>
        <c:axId val="1895435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902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[Online Retail Performance.xlsx]pivot tables!PivotTable1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cked"/>
        <c:varyColors val="0"/>
        <c:ser>
          <c:idx val="0"/>
          <c:order val="0"/>
          <c:tx>
            <c:strRef>
              <c:f>'pivot tables'!$B$3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tables'!$A$4:$A$7</c:f>
              <c:strCache>
                <c:ptCount val="3"/>
                <c:pt idx="0">
                  <c:v>Jan</c:v>
                </c:pt>
                <c:pt idx="1">
                  <c:v>Feb</c:v>
                </c:pt>
                <c:pt idx="2">
                  <c:v>Mar</c:v>
                </c:pt>
              </c:strCache>
            </c:strRef>
          </c:cat>
          <c:val>
            <c:numRef>
              <c:f>'pivot tables'!$B$4:$B$7</c:f>
              <c:numCache>
                <c:formatCode>General</c:formatCode>
                <c:ptCount val="3"/>
                <c:pt idx="0">
                  <c:v>71525.599999999962</c:v>
                </c:pt>
                <c:pt idx="1">
                  <c:v>78704.79999999993</c:v>
                </c:pt>
                <c:pt idx="2">
                  <c:v>90676.200000000012</c:v>
                </c:pt>
              </c:numCache>
            </c:numRef>
          </c:val>
          <c:smooth val="0"/>
          <c:extLst>
            <c:ext xmlns:c16="http://schemas.microsoft.com/office/drawing/2014/chart" uri="{C3380CC4-5D6E-409C-BE32-E72D297353CC}">
              <c16:uniqueId val="{00000000-E720-438C-8868-71D9B0070B3D}"/>
            </c:ext>
          </c:extLst>
        </c:ser>
        <c:dLbls>
          <c:showLegendKey val="0"/>
          <c:showVal val="0"/>
          <c:showCatName val="0"/>
          <c:showSerName val="0"/>
          <c:showPercent val="0"/>
          <c:showBubbleSize val="0"/>
        </c:dLbls>
        <c:marker val="1"/>
        <c:smooth val="0"/>
        <c:axId val="1377706624"/>
        <c:axId val="1697244464"/>
      </c:lineChart>
      <c:catAx>
        <c:axId val="137770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244464"/>
        <c:crosses val="autoZero"/>
        <c:auto val="1"/>
        <c:lblAlgn val="ctr"/>
        <c:lblOffset val="100"/>
        <c:noMultiLvlLbl val="0"/>
      </c:catAx>
      <c:valAx>
        <c:axId val="169724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70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Performance.xlsx]pivot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tables'!$C$20</c:f>
              <c:strCache>
                <c:ptCount val="1"/>
                <c:pt idx="0">
                  <c:v>Total</c:v>
                </c:pt>
              </c:strCache>
            </c:strRef>
          </c:tx>
          <c:spPr>
            <a:solidFill>
              <a:schemeClr val="accent1"/>
            </a:solidFill>
            <a:ln>
              <a:noFill/>
            </a:ln>
            <a:effectLst/>
          </c:spPr>
          <c:invertIfNegative val="0"/>
          <c:cat>
            <c:strRef>
              <c:f>'pivot tables'!$B$21:$B$31</c:f>
              <c:strCache>
                <c:ptCount val="10"/>
                <c:pt idx="0">
                  <c:v>Bikinis</c:v>
                </c:pt>
                <c:pt idx="1">
                  <c:v>Graphic Tees</c:v>
                </c:pt>
                <c:pt idx="2">
                  <c:v>Hoodies &amp; Sweatshirts</c:v>
                </c:pt>
                <c:pt idx="3">
                  <c:v>Jeans</c:v>
                </c:pt>
                <c:pt idx="4">
                  <c:v>Sandals</c:v>
                </c:pt>
                <c:pt idx="5">
                  <c:v>Shorts</c:v>
                </c:pt>
                <c:pt idx="6">
                  <c:v>Sneakers</c:v>
                </c:pt>
                <c:pt idx="7">
                  <c:v>Sundresses</c:v>
                </c:pt>
                <c:pt idx="8">
                  <c:v>Tank Tops</c:v>
                </c:pt>
                <c:pt idx="9">
                  <c:v>T-Shirts</c:v>
                </c:pt>
              </c:strCache>
            </c:strRef>
          </c:cat>
          <c:val>
            <c:numRef>
              <c:f>'pivot tables'!$C$21:$C$31</c:f>
              <c:numCache>
                <c:formatCode>General</c:formatCode>
                <c:ptCount val="10"/>
                <c:pt idx="0">
                  <c:v>807</c:v>
                </c:pt>
                <c:pt idx="1">
                  <c:v>647</c:v>
                </c:pt>
                <c:pt idx="2">
                  <c:v>606</c:v>
                </c:pt>
                <c:pt idx="3">
                  <c:v>1546</c:v>
                </c:pt>
                <c:pt idx="4">
                  <c:v>603</c:v>
                </c:pt>
                <c:pt idx="5">
                  <c:v>745</c:v>
                </c:pt>
                <c:pt idx="6">
                  <c:v>1186</c:v>
                </c:pt>
                <c:pt idx="7">
                  <c:v>700</c:v>
                </c:pt>
                <c:pt idx="8">
                  <c:v>912</c:v>
                </c:pt>
                <c:pt idx="9">
                  <c:v>1645</c:v>
                </c:pt>
              </c:numCache>
            </c:numRef>
          </c:val>
          <c:extLst>
            <c:ext xmlns:c16="http://schemas.microsoft.com/office/drawing/2014/chart" uri="{C3380CC4-5D6E-409C-BE32-E72D297353CC}">
              <c16:uniqueId val="{00000000-B921-4985-BF3F-B363ED4ACDA8}"/>
            </c:ext>
          </c:extLst>
        </c:ser>
        <c:dLbls>
          <c:showLegendKey val="0"/>
          <c:showVal val="0"/>
          <c:showCatName val="0"/>
          <c:showSerName val="0"/>
          <c:showPercent val="0"/>
          <c:showBubbleSize val="0"/>
        </c:dLbls>
        <c:gapWidth val="182"/>
        <c:axId val="1544568576"/>
        <c:axId val="1700746576"/>
      </c:barChart>
      <c:catAx>
        <c:axId val="154456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746576"/>
        <c:crosses val="autoZero"/>
        <c:auto val="1"/>
        <c:lblAlgn val="ctr"/>
        <c:lblOffset val="100"/>
        <c:noMultiLvlLbl val="0"/>
      </c:catAx>
      <c:valAx>
        <c:axId val="170074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6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Performance.xlsx]pivot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tables'!$C$36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14-4976-A33A-ACAC48290A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14-4976-A33A-ACAC48290A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14-4976-A33A-ACAC48290A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14-4976-A33A-ACAC48290A0D}"/>
              </c:ext>
            </c:extLst>
          </c:dPt>
          <c:cat>
            <c:strRef>
              <c:f>'pivot tables'!$B$37:$B$41</c:f>
              <c:strCache>
                <c:ptCount val="4"/>
                <c:pt idx="0">
                  <c:v>Female</c:v>
                </c:pt>
                <c:pt idx="1">
                  <c:v>Male</c:v>
                </c:pt>
                <c:pt idx="2">
                  <c:v>Other</c:v>
                </c:pt>
                <c:pt idx="3">
                  <c:v>Unknown</c:v>
                </c:pt>
              </c:strCache>
            </c:strRef>
          </c:cat>
          <c:val>
            <c:numRef>
              <c:f>'pivot tables'!$C$37:$C$41</c:f>
              <c:numCache>
                <c:formatCode>General</c:formatCode>
                <c:ptCount val="4"/>
                <c:pt idx="0">
                  <c:v>6272</c:v>
                </c:pt>
                <c:pt idx="1">
                  <c:v>4673</c:v>
                </c:pt>
                <c:pt idx="2">
                  <c:v>317</c:v>
                </c:pt>
                <c:pt idx="3">
                  <c:v>735</c:v>
                </c:pt>
              </c:numCache>
            </c:numRef>
          </c:val>
          <c:extLst>
            <c:ext xmlns:c16="http://schemas.microsoft.com/office/drawing/2014/chart" uri="{C3380CC4-5D6E-409C-BE32-E72D297353CC}">
              <c16:uniqueId val="{00000000-598E-4739-BB3D-8F3CE5BCD6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Performance.xlsx]pivot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tables'!$C$48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7A-4509-92F3-D741088627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7A-4509-92F3-D741088627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7A-4509-92F3-D741088627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7A-4509-92F3-D741088627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7A-4509-92F3-D7410886274D}"/>
              </c:ext>
            </c:extLst>
          </c:dPt>
          <c:cat>
            <c:strRef>
              <c:f>'pivot tables'!$B$49:$B$54</c:f>
              <c:strCache>
                <c:ptCount val="5"/>
                <c:pt idx="0">
                  <c:v>App</c:v>
                </c:pt>
                <c:pt idx="1">
                  <c:v>Instagram</c:v>
                </c:pt>
                <c:pt idx="2">
                  <c:v>Partner App</c:v>
                </c:pt>
                <c:pt idx="3">
                  <c:v>Target.com</c:v>
                </c:pt>
                <c:pt idx="4">
                  <c:v>Website</c:v>
                </c:pt>
              </c:strCache>
            </c:strRef>
          </c:cat>
          <c:val>
            <c:numRef>
              <c:f>'pivot tables'!$C$49:$C$54</c:f>
              <c:numCache>
                <c:formatCode>General</c:formatCode>
                <c:ptCount val="5"/>
                <c:pt idx="0">
                  <c:v>4220</c:v>
                </c:pt>
                <c:pt idx="1">
                  <c:v>1415</c:v>
                </c:pt>
                <c:pt idx="2">
                  <c:v>1388</c:v>
                </c:pt>
                <c:pt idx="3">
                  <c:v>2308</c:v>
                </c:pt>
                <c:pt idx="4">
                  <c:v>2666</c:v>
                </c:pt>
              </c:numCache>
            </c:numRef>
          </c:val>
          <c:extLst>
            <c:ext xmlns:c16="http://schemas.microsoft.com/office/drawing/2014/chart" uri="{C3380CC4-5D6E-409C-BE32-E72D297353CC}">
              <c16:uniqueId val="{00000000-D9E6-4E89-8569-81FF2F3327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273445167180182"/>
          <c:y val="0.32494939062568867"/>
          <c:w val="0.14199910997284509"/>
          <c:h val="0.49641784991805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Performance.xlsx]pivot tables!PivotTable10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tables'!$H$80</c:f>
              <c:strCache>
                <c:ptCount val="1"/>
                <c:pt idx="0">
                  <c:v>Total</c:v>
                </c:pt>
              </c:strCache>
            </c:strRef>
          </c:tx>
          <c:spPr>
            <a:solidFill>
              <a:schemeClr val="accent1"/>
            </a:solidFill>
            <a:ln>
              <a:noFill/>
            </a:ln>
            <a:effectLst/>
          </c:spPr>
          <c:invertIfNegative val="0"/>
          <c:cat>
            <c:strRef>
              <c:f>'pivot tables'!$G$81:$G$84</c:f>
              <c:strCache>
                <c:ptCount val="3"/>
                <c:pt idx="0">
                  <c:v>Jan</c:v>
                </c:pt>
                <c:pt idx="1">
                  <c:v>Feb</c:v>
                </c:pt>
                <c:pt idx="2">
                  <c:v>Mar</c:v>
                </c:pt>
              </c:strCache>
            </c:strRef>
          </c:cat>
          <c:val>
            <c:numRef>
              <c:f>'pivot tables'!$H$81:$H$84</c:f>
              <c:numCache>
                <c:formatCode>General</c:formatCode>
                <c:ptCount val="3"/>
                <c:pt idx="0">
                  <c:v>600</c:v>
                </c:pt>
                <c:pt idx="1">
                  <c:v>820</c:v>
                </c:pt>
                <c:pt idx="2">
                  <c:v>752</c:v>
                </c:pt>
              </c:numCache>
            </c:numRef>
          </c:val>
          <c:extLst>
            <c:ext xmlns:c16="http://schemas.microsoft.com/office/drawing/2014/chart" uri="{C3380CC4-5D6E-409C-BE32-E72D297353CC}">
              <c16:uniqueId val="{00000000-21F6-4E64-B3E1-625D8F36AF7E}"/>
            </c:ext>
          </c:extLst>
        </c:ser>
        <c:dLbls>
          <c:showLegendKey val="0"/>
          <c:showVal val="0"/>
          <c:showCatName val="0"/>
          <c:showSerName val="0"/>
          <c:showPercent val="0"/>
          <c:showBubbleSize val="0"/>
        </c:dLbls>
        <c:gapWidth val="219"/>
        <c:overlap val="-27"/>
        <c:axId val="1536130400"/>
        <c:axId val="1700752816"/>
      </c:barChart>
      <c:catAx>
        <c:axId val="153613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752816"/>
        <c:crosses val="autoZero"/>
        <c:auto val="1"/>
        <c:lblAlgn val="ctr"/>
        <c:lblOffset val="100"/>
        <c:noMultiLvlLbl val="0"/>
      </c:catAx>
      <c:valAx>
        <c:axId val="170075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13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By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1800664480060109"/>
          <c:y val="0.25556031779360905"/>
          <c:w val="0.52926371459437715"/>
          <c:h val="0.68080990638634342"/>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21-4301-A3BE-47FCD495D5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21-4301-A3BE-47FCD495D5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21-4301-A3BE-47FCD495D5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21-4301-A3BE-47FCD495D534}"/>
              </c:ext>
            </c:extLst>
          </c:dPt>
          <c:cat>
            <c:strLit>
              <c:ptCount val="4"/>
              <c:pt idx="0">
                <c:v>Cancelled</c:v>
              </c:pt>
              <c:pt idx="1">
                <c:v>Delivered</c:v>
              </c:pt>
              <c:pt idx="2">
                <c:v>Refunded</c:v>
              </c:pt>
              <c:pt idx="3">
                <c:v>Reordered</c:v>
              </c:pt>
            </c:strLit>
          </c:cat>
          <c:val>
            <c:numLit>
              <c:formatCode>General</c:formatCode>
              <c:ptCount val="4"/>
              <c:pt idx="0">
                <c:v>2676</c:v>
              </c:pt>
              <c:pt idx="1">
                <c:v>3968</c:v>
              </c:pt>
              <c:pt idx="2">
                <c:v>2807</c:v>
              </c:pt>
              <c:pt idx="3">
                <c:v>2546</c:v>
              </c:pt>
            </c:numLit>
          </c:val>
          <c:extLst>
            <c:ext xmlns:c16="http://schemas.microsoft.com/office/drawing/2014/chart" uri="{C3380CC4-5D6E-409C-BE32-E72D297353CC}">
              <c16:uniqueId val="{00000008-B221-4301-A3BE-47FCD495D5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Performance.xlsx]pivot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Products</a:t>
            </a:r>
            <a:endParaRPr lang="en-US" sz="1600" b="1"/>
          </a:p>
        </c:rich>
      </c:tx>
      <c:layout>
        <c:manualLayout>
          <c:xMode val="edge"/>
          <c:yMode val="edge"/>
          <c:x val="0.3279652230971129"/>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tables'!$D$116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51-4A5A-A8B2-5623AA71D3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51-4A5A-A8B2-5623AA71D3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51-4A5A-A8B2-5623AA71D3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51-4A5A-A8B2-5623AA71D3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51-4A5A-A8B2-5623AA71D39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51-4A5A-A8B2-5623AA71D39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D51-4A5A-A8B2-5623AA71D39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D51-4A5A-A8B2-5623AA71D39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D51-4A5A-A8B2-5623AA71D39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D51-4A5A-A8B2-5623AA71D395}"/>
              </c:ext>
            </c:extLst>
          </c:dPt>
          <c:cat>
            <c:strRef>
              <c:f>'pivot tables'!$C$117:$C$127</c:f>
              <c:strCache>
                <c:ptCount val="10"/>
                <c:pt idx="0">
                  <c:v>Bikinis</c:v>
                </c:pt>
                <c:pt idx="1">
                  <c:v>Crop Tops</c:v>
                </c:pt>
                <c:pt idx="2">
                  <c:v>Hoodies &amp; Sweatshirts</c:v>
                </c:pt>
                <c:pt idx="3">
                  <c:v>Jeans</c:v>
                </c:pt>
                <c:pt idx="4">
                  <c:v>Leggings</c:v>
                </c:pt>
                <c:pt idx="5">
                  <c:v>Sandals</c:v>
                </c:pt>
                <c:pt idx="6">
                  <c:v>Sneakers</c:v>
                </c:pt>
                <c:pt idx="7">
                  <c:v>Sundresses</c:v>
                </c:pt>
                <c:pt idx="8">
                  <c:v>Tank Tops</c:v>
                </c:pt>
                <c:pt idx="9">
                  <c:v>T-Shirts</c:v>
                </c:pt>
              </c:strCache>
            </c:strRef>
          </c:cat>
          <c:val>
            <c:numRef>
              <c:f>'pivot tables'!$D$117:$D$127</c:f>
              <c:numCache>
                <c:formatCode>General</c:formatCode>
                <c:ptCount val="10"/>
                <c:pt idx="0">
                  <c:v>11586.300000000003</c:v>
                </c:pt>
                <c:pt idx="1">
                  <c:v>11228.899999999998</c:v>
                </c:pt>
                <c:pt idx="2">
                  <c:v>17923.5</c:v>
                </c:pt>
                <c:pt idx="3">
                  <c:v>42448.80000000001</c:v>
                </c:pt>
                <c:pt idx="4">
                  <c:v>8705.9</c:v>
                </c:pt>
                <c:pt idx="5">
                  <c:v>13832.000000000004</c:v>
                </c:pt>
                <c:pt idx="6">
                  <c:v>42922.100000000013</c:v>
                </c:pt>
                <c:pt idx="7">
                  <c:v>8644.9</c:v>
                </c:pt>
                <c:pt idx="8">
                  <c:v>18378.100000000002</c:v>
                </c:pt>
                <c:pt idx="9">
                  <c:v>20907.900000000005</c:v>
                </c:pt>
              </c:numCache>
            </c:numRef>
          </c:val>
          <c:extLst>
            <c:ext xmlns:c16="http://schemas.microsoft.com/office/drawing/2014/chart" uri="{C3380CC4-5D6E-409C-BE32-E72D297353CC}">
              <c16:uniqueId val="{00000000-1A7A-430B-8281-3C93C74357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Performance.xlsx]pivot tables!PivotTable13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s>
    <c:plotArea>
      <c:layout/>
      <c:pieChart>
        <c:varyColors val="1"/>
        <c:ser>
          <c:idx val="0"/>
          <c:order val="0"/>
          <c:tx>
            <c:strRef>
              <c:f>'pivot tables'!$H$139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6E-45BE-8495-E4C78F8AAF88}"/>
              </c:ext>
            </c:extLst>
          </c:dPt>
          <c:cat>
            <c:strRef>
              <c:f>'pivot tables'!$G$140:$G$141</c:f>
              <c:strCache>
                <c:ptCount val="1"/>
                <c:pt idx="0">
                  <c:v>M</c:v>
                </c:pt>
              </c:strCache>
            </c:strRef>
          </c:cat>
          <c:val>
            <c:numRef>
              <c:f>'pivot tables'!$H$140:$H$141</c:f>
              <c:numCache>
                <c:formatCode>General</c:formatCode>
                <c:ptCount val="1"/>
                <c:pt idx="0">
                  <c:v>2172</c:v>
                </c:pt>
              </c:numCache>
            </c:numRef>
          </c:val>
          <c:extLst>
            <c:ext xmlns:c16="http://schemas.microsoft.com/office/drawing/2014/chart" uri="{C3380CC4-5D6E-409C-BE32-E72D297353CC}">
              <c16:uniqueId val="{00000013-CF5B-45A3-A535-038078C40A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18</xdr:col>
      <xdr:colOff>85725</xdr:colOff>
      <xdr:row>1</xdr:row>
      <xdr:rowOff>114300</xdr:rowOff>
    </xdr:from>
    <xdr:to>
      <xdr:col>19</xdr:col>
      <xdr:colOff>571500</xdr:colOff>
      <xdr:row>5</xdr:row>
      <xdr:rowOff>85725</xdr:rowOff>
    </xdr:to>
    <xdr:sp macro="" textlink="">
      <xdr:nvSpPr>
        <xdr:cNvPr id="2" name="Rectangle: Rounded Corners 1">
          <a:extLst>
            <a:ext uri="{FF2B5EF4-FFF2-40B4-BE49-F238E27FC236}">
              <a16:creationId xmlns:a16="http://schemas.microsoft.com/office/drawing/2014/main" id="{8FE15519-0383-4070-A3FE-BE645122DAA2}"/>
            </a:ext>
          </a:extLst>
        </xdr:cNvPr>
        <xdr:cNvSpPr/>
      </xdr:nvSpPr>
      <xdr:spPr>
        <a:xfrm>
          <a:off x="15678150" y="295275"/>
          <a:ext cx="1171575" cy="695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Total</a:t>
          </a:r>
          <a:r>
            <a:rPr lang="en-US" sz="1400" b="1" baseline="0"/>
            <a:t> Orders</a:t>
          </a:r>
          <a:endParaRPr lang="en-US" sz="1400" b="1"/>
        </a:p>
      </xdr:txBody>
    </xdr:sp>
    <xdr:clientData/>
  </xdr:twoCellAnchor>
  <xdr:twoCellAnchor editAs="oneCell">
    <xdr:from>
      <xdr:col>20</xdr:col>
      <xdr:colOff>0</xdr:colOff>
      <xdr:row>7</xdr:row>
      <xdr:rowOff>0</xdr:rowOff>
    </xdr:from>
    <xdr:to>
      <xdr:col>21</xdr:col>
      <xdr:colOff>9525</xdr:colOff>
      <xdr:row>8</xdr:row>
      <xdr:rowOff>9525</xdr:rowOff>
    </xdr:to>
    <xdr:pic>
      <xdr:nvPicPr>
        <xdr:cNvPr id="3" name="Picture 2">
          <a:extLst>
            <a:ext uri="{FF2B5EF4-FFF2-40B4-BE49-F238E27FC236}">
              <a16:creationId xmlns:a16="http://schemas.microsoft.com/office/drawing/2014/main" id="{27EB3588-F775-42CA-BCAE-90FE3D974A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64125" y="1266825"/>
          <a:ext cx="11144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457200</xdr:colOff>
      <xdr:row>3</xdr:row>
      <xdr:rowOff>57150</xdr:rowOff>
    </xdr:from>
    <xdr:to>
      <xdr:col>19</xdr:col>
      <xdr:colOff>219075</xdr:colOff>
      <xdr:row>4</xdr:row>
      <xdr:rowOff>114300</xdr:rowOff>
    </xdr:to>
    <xdr:pic>
      <xdr:nvPicPr>
        <xdr:cNvPr id="5" name="Picture 4">
          <a:extLst>
            <a:ext uri="{FF2B5EF4-FFF2-40B4-BE49-F238E27FC236}">
              <a16:creationId xmlns:a16="http://schemas.microsoft.com/office/drawing/2014/main" id="{D969A4A3-EA84-40F8-9CE7-BFE9A4C560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363825" y="600075"/>
          <a:ext cx="11334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914400</xdr:colOff>
      <xdr:row>1</xdr:row>
      <xdr:rowOff>19050</xdr:rowOff>
    </xdr:from>
    <xdr:to>
      <xdr:col>20</xdr:col>
      <xdr:colOff>247650</xdr:colOff>
      <xdr:row>1</xdr:row>
      <xdr:rowOff>161925</xdr:rowOff>
    </xdr:to>
    <xdr:sp macro="" textlink="">
      <xdr:nvSpPr>
        <xdr:cNvPr id="6" name="TextBox 5">
          <a:extLst>
            <a:ext uri="{FF2B5EF4-FFF2-40B4-BE49-F238E27FC236}">
              <a16:creationId xmlns:a16="http://schemas.microsoft.com/office/drawing/2014/main" id="{E35733F4-A1CE-49A6-BF14-A13A1792BF5B}"/>
            </a:ext>
          </a:extLst>
        </xdr:cNvPr>
        <xdr:cNvSpPr txBox="1"/>
      </xdr:nvSpPr>
      <xdr:spPr>
        <a:xfrm>
          <a:off x="17192625" y="200025"/>
          <a:ext cx="819150"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85725</xdr:colOff>
      <xdr:row>3</xdr:row>
      <xdr:rowOff>9526</xdr:rowOff>
    </xdr:from>
    <xdr:to>
      <xdr:col>11</xdr:col>
      <xdr:colOff>571500</xdr:colOff>
      <xdr:row>13</xdr:row>
      <xdr:rowOff>161926</xdr:rowOff>
    </xdr:to>
    <xdr:graphicFrame macro="">
      <xdr:nvGraphicFramePr>
        <xdr:cNvPr id="13" name="Chart 12">
          <a:extLst>
            <a:ext uri="{FF2B5EF4-FFF2-40B4-BE49-F238E27FC236}">
              <a16:creationId xmlns:a16="http://schemas.microsoft.com/office/drawing/2014/main" id="{DD14EF69-6A4B-47CA-8213-4FD1AFFBF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85724</xdr:colOff>
      <xdr:row>14</xdr:row>
      <xdr:rowOff>114300</xdr:rowOff>
    </xdr:from>
    <xdr:to>
      <xdr:col>11</xdr:col>
      <xdr:colOff>571500</xdr:colOff>
      <xdr:row>25</xdr:row>
      <xdr:rowOff>9525</xdr:rowOff>
    </xdr:to>
    <xdr:graphicFrame macro="">
      <xdr:nvGraphicFramePr>
        <xdr:cNvPr id="16" name="Chart 15">
          <a:extLst>
            <a:ext uri="{FF2B5EF4-FFF2-40B4-BE49-F238E27FC236}">
              <a16:creationId xmlns:a16="http://schemas.microsoft.com/office/drawing/2014/main" id="{A8156483-00BC-4D9F-A866-89EE302BE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xdr:row>
      <xdr:rowOff>163285</xdr:rowOff>
    </xdr:from>
    <xdr:to>
      <xdr:col>2</xdr:col>
      <xdr:colOff>190499</xdr:colOff>
      <xdr:row>18</xdr:row>
      <xdr:rowOff>142875</xdr:rowOff>
    </xdr:to>
    <mc:AlternateContent xmlns:mc="http://schemas.openxmlformats.org/markup-compatibility/2006" xmlns:a14="http://schemas.microsoft.com/office/drawing/2010/main">
      <mc:Choice Requires="a14">
        <xdr:graphicFrame macro="">
          <xdr:nvGraphicFramePr>
            <xdr:cNvPr id="22" name="Order Mode 1">
              <a:extLst>
                <a:ext uri="{FF2B5EF4-FFF2-40B4-BE49-F238E27FC236}">
                  <a16:creationId xmlns:a16="http://schemas.microsoft.com/office/drawing/2014/main" id="{ED9A5633-4FC5-4F7A-B14C-1B1338D7A44B}"/>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0" y="1956226"/>
              <a:ext cx="1557617" cy="1413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18</xdr:row>
      <xdr:rowOff>161926</xdr:rowOff>
    </xdr:from>
    <xdr:to>
      <xdr:col>2</xdr:col>
      <xdr:colOff>180975</xdr:colOff>
      <xdr:row>25</xdr:row>
      <xdr:rowOff>114301</xdr:rowOff>
    </xdr:to>
    <mc:AlternateContent xmlns:mc="http://schemas.openxmlformats.org/markup-compatibility/2006" xmlns:a14="http://schemas.microsoft.com/office/drawing/2010/main">
      <mc:Choice Requires="a14">
        <xdr:graphicFrame macro="">
          <xdr:nvGraphicFramePr>
            <xdr:cNvPr id="24" name="Rating C 1">
              <a:extLst>
                <a:ext uri="{FF2B5EF4-FFF2-40B4-BE49-F238E27FC236}">
                  <a16:creationId xmlns:a16="http://schemas.microsoft.com/office/drawing/2014/main" id="{C24EDFBB-D9BE-420F-B539-5EA8C9C1245E}"/>
                </a:ext>
              </a:extLst>
            </xdr:cNvPr>
            <xdr:cNvGraphicFramePr/>
          </xdr:nvGraphicFramePr>
          <xdr:xfrm>
            <a:off x="0" y="0"/>
            <a:ext cx="0" cy="0"/>
          </xdr:xfrm>
          <a:graphic>
            <a:graphicData uri="http://schemas.microsoft.com/office/drawing/2010/slicer">
              <sle:slicer xmlns:sle="http://schemas.microsoft.com/office/drawing/2010/slicer" name="Rating C 1"/>
            </a:graphicData>
          </a:graphic>
        </xdr:graphicFrame>
      </mc:Choice>
      <mc:Fallback xmlns="">
        <xdr:sp macro="" textlink="">
          <xdr:nvSpPr>
            <xdr:cNvPr id="0" name=""/>
            <xdr:cNvSpPr>
              <a:spLocks noTextEdit="1"/>
            </xdr:cNvSpPr>
          </xdr:nvSpPr>
          <xdr:spPr>
            <a:xfrm>
              <a:off x="28575" y="3389220"/>
              <a:ext cx="1519518" cy="1207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22411</xdr:rowOff>
    </xdr:from>
    <xdr:to>
      <xdr:col>2</xdr:col>
      <xdr:colOff>168088</xdr:colOff>
      <xdr:row>10</xdr:row>
      <xdr:rowOff>147917</xdr:rowOff>
    </xdr:to>
    <mc:AlternateContent xmlns:mc="http://schemas.openxmlformats.org/markup-compatibility/2006" xmlns:a14="http://schemas.microsoft.com/office/drawing/2010/main">
      <mc:Choice Requires="a14">
        <xdr:graphicFrame macro="">
          <xdr:nvGraphicFramePr>
            <xdr:cNvPr id="26" name="Gender Value 1">
              <a:extLst>
                <a:ext uri="{FF2B5EF4-FFF2-40B4-BE49-F238E27FC236}">
                  <a16:creationId xmlns:a16="http://schemas.microsoft.com/office/drawing/2014/main" id="{3EDE4FFF-1FF6-404E-A8B2-34C235705840}"/>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0" y="560293"/>
              <a:ext cx="1535206" cy="1380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224118</xdr:colOff>
      <xdr:row>3</xdr:row>
      <xdr:rowOff>33619</xdr:rowOff>
    </xdr:from>
    <xdr:to>
      <xdr:col>6</xdr:col>
      <xdr:colOff>571501</xdr:colOff>
      <xdr:row>13</xdr:row>
      <xdr:rowOff>156883</xdr:rowOff>
    </xdr:to>
    <xdr:graphicFrame macro="">
      <xdr:nvGraphicFramePr>
        <xdr:cNvPr id="28" name="Chart 27">
          <a:extLst>
            <a:ext uri="{FF2B5EF4-FFF2-40B4-BE49-F238E27FC236}">
              <a16:creationId xmlns:a16="http://schemas.microsoft.com/office/drawing/2014/main" id="{97083746-158D-45E3-9864-4917A0FE8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56030</xdr:colOff>
      <xdr:row>14</xdr:row>
      <xdr:rowOff>112058</xdr:rowOff>
    </xdr:from>
    <xdr:to>
      <xdr:col>16</xdr:col>
      <xdr:colOff>336177</xdr:colOff>
      <xdr:row>25</xdr:row>
      <xdr:rowOff>22412</xdr:rowOff>
    </xdr:to>
    <xdr:graphicFrame macro="">
      <xdr:nvGraphicFramePr>
        <xdr:cNvPr id="32" name="Chart 31">
          <a:extLst>
            <a:ext uri="{FF2B5EF4-FFF2-40B4-BE49-F238E27FC236}">
              <a16:creationId xmlns:a16="http://schemas.microsoft.com/office/drawing/2014/main" id="{386B0ED6-59E6-4062-ABA7-F09F46C5C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504264</xdr:colOff>
      <xdr:row>0</xdr:row>
      <xdr:rowOff>56030</xdr:rowOff>
    </xdr:from>
    <xdr:to>
      <xdr:col>11</xdr:col>
      <xdr:colOff>246529</xdr:colOff>
      <xdr:row>2</xdr:row>
      <xdr:rowOff>89648</xdr:rowOff>
    </xdr:to>
    <xdr:sp macro="" textlink="">
      <xdr:nvSpPr>
        <xdr:cNvPr id="38" name="Rectangle: Rounded Corners 37">
          <a:extLst>
            <a:ext uri="{FF2B5EF4-FFF2-40B4-BE49-F238E27FC236}">
              <a16:creationId xmlns:a16="http://schemas.microsoft.com/office/drawing/2014/main" id="{74C66561-F63C-42AA-8270-326D2213E5B1}"/>
            </a:ext>
          </a:extLst>
        </xdr:cNvPr>
        <xdr:cNvSpPr/>
      </xdr:nvSpPr>
      <xdr:spPr>
        <a:xfrm>
          <a:off x="3922058" y="56030"/>
          <a:ext cx="3843618" cy="3922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none">
              <a:solidFill>
                <a:schemeClr val="tx1"/>
              </a:solidFill>
            </a:rPr>
            <a:t>                              </a:t>
          </a:r>
          <a:r>
            <a:rPr lang="en-US" sz="1800" b="1" u="none">
              <a:solidFill>
                <a:schemeClr val="tx1"/>
              </a:solidFill>
              <a:latin typeface="Arial Narrow" panose="020B0606020202030204" pitchFamily="34" charset="0"/>
              <a:cs typeface="Arial" panose="020B0604020202020204" pitchFamily="34" charset="0"/>
            </a:rPr>
            <a:t>Ecommerce</a:t>
          </a:r>
          <a:r>
            <a:rPr lang="en-US" sz="1800" b="1" u="none" baseline="0">
              <a:solidFill>
                <a:schemeClr val="tx1"/>
              </a:solidFill>
              <a:latin typeface="Arial Narrow" panose="020B0606020202030204" pitchFamily="34" charset="0"/>
              <a:cs typeface="Arial" panose="020B0604020202020204" pitchFamily="34" charset="0"/>
            </a:rPr>
            <a:t> Dashboard</a:t>
          </a:r>
          <a:endParaRPr lang="en-US" sz="1800" b="1" u="none">
            <a:solidFill>
              <a:schemeClr val="tx1"/>
            </a:solidFill>
            <a:latin typeface="Arial Narrow" panose="020B0606020202030204" pitchFamily="34" charset="0"/>
            <a:cs typeface="Arial" panose="020B0604020202020204" pitchFamily="34" charset="0"/>
          </a:endParaRPr>
        </a:p>
      </xdr:txBody>
    </xdr:sp>
    <xdr:clientData/>
  </xdr:twoCellAnchor>
  <xdr:twoCellAnchor>
    <xdr:from>
      <xdr:col>12</xdr:col>
      <xdr:colOff>56029</xdr:colOff>
      <xdr:row>3</xdr:row>
      <xdr:rowOff>11207</xdr:rowOff>
    </xdr:from>
    <xdr:to>
      <xdr:col>16</xdr:col>
      <xdr:colOff>336177</xdr:colOff>
      <xdr:row>13</xdr:row>
      <xdr:rowOff>156883</xdr:rowOff>
    </xdr:to>
    <xdr:graphicFrame macro="">
      <xdr:nvGraphicFramePr>
        <xdr:cNvPr id="20" name="Chart 19">
          <a:extLst>
            <a:ext uri="{FF2B5EF4-FFF2-40B4-BE49-F238E27FC236}">
              <a16:creationId xmlns:a16="http://schemas.microsoft.com/office/drawing/2014/main" id="{AC7774E9-6948-4DB2-9B56-2DDF271C1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224117</xdr:colOff>
      <xdr:row>14</xdr:row>
      <xdr:rowOff>134470</xdr:rowOff>
    </xdr:from>
    <xdr:to>
      <xdr:col>6</xdr:col>
      <xdr:colOff>571500</xdr:colOff>
      <xdr:row>25</xdr:row>
      <xdr:rowOff>22412</xdr:rowOff>
    </xdr:to>
    <xdr:graphicFrame macro="">
      <xdr:nvGraphicFramePr>
        <xdr:cNvPr id="33" name="Chart 32">
          <a:extLst>
            <a:ext uri="{FF2B5EF4-FFF2-40B4-BE49-F238E27FC236}">
              <a16:creationId xmlns:a16="http://schemas.microsoft.com/office/drawing/2014/main" id="{90A8EC0B-0E86-493E-9F25-69E42B4B7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0.16727</cdr:x>
      <cdr:y>0.02924</cdr:y>
    </cdr:from>
    <cdr:to>
      <cdr:x>0.88727</cdr:x>
      <cdr:y>0.23976</cdr:y>
    </cdr:to>
    <cdr:sp macro="" textlink="">
      <cdr:nvSpPr>
        <cdr:cNvPr id="2" name="TextBox 1">
          <a:extLst xmlns:a="http://schemas.openxmlformats.org/drawingml/2006/main">
            <a:ext uri="{FF2B5EF4-FFF2-40B4-BE49-F238E27FC236}">
              <a16:creationId xmlns:a16="http://schemas.microsoft.com/office/drawing/2014/main" id="{C156CC38-B7CB-4455-9BE3-29EF9C48DB80}"/>
            </a:ext>
          </a:extLst>
        </cdr:cNvPr>
        <cdr:cNvSpPr txBox="1"/>
      </cdr:nvSpPr>
      <cdr:spPr>
        <a:xfrm xmlns:a="http://schemas.openxmlformats.org/drawingml/2006/main">
          <a:off x="515470" y="56028"/>
          <a:ext cx="2218765" cy="4034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Sales Trend Over Time</a:t>
          </a: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19049</xdr:colOff>
      <xdr:row>2</xdr:row>
      <xdr:rowOff>23812</xdr:rowOff>
    </xdr:from>
    <xdr:to>
      <xdr:col>8</xdr:col>
      <xdr:colOff>19050</xdr:colOff>
      <xdr:row>17</xdr:row>
      <xdr:rowOff>52387</xdr:rowOff>
    </xdr:to>
    <xdr:graphicFrame macro="">
      <xdr:nvGraphicFramePr>
        <xdr:cNvPr id="3" name="Chart 2">
          <a:extLst>
            <a:ext uri="{FF2B5EF4-FFF2-40B4-BE49-F238E27FC236}">
              <a16:creationId xmlns:a16="http://schemas.microsoft.com/office/drawing/2014/main" id="{FE87FEC1-4EEA-4D45-8208-684C87140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xdr:colOff>
      <xdr:row>18</xdr:row>
      <xdr:rowOff>152399</xdr:rowOff>
    </xdr:from>
    <xdr:to>
      <xdr:col>9</xdr:col>
      <xdr:colOff>238125</xdr:colOff>
      <xdr:row>31</xdr:row>
      <xdr:rowOff>42861</xdr:rowOff>
    </xdr:to>
    <xdr:graphicFrame macro="">
      <xdr:nvGraphicFramePr>
        <xdr:cNvPr id="4" name="Chart 3">
          <a:extLst>
            <a:ext uri="{FF2B5EF4-FFF2-40B4-BE49-F238E27FC236}">
              <a16:creationId xmlns:a16="http://schemas.microsoft.com/office/drawing/2014/main" id="{BA06BF7B-767A-4D56-90E1-2BFFA10D4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190499</xdr:colOff>
      <xdr:row>32</xdr:row>
      <xdr:rowOff>171450</xdr:rowOff>
    </xdr:from>
    <xdr:to>
      <xdr:col>7</xdr:col>
      <xdr:colOff>171450</xdr:colOff>
      <xdr:row>42</xdr:row>
      <xdr:rowOff>176212</xdr:rowOff>
    </xdr:to>
    <xdr:graphicFrame macro="">
      <xdr:nvGraphicFramePr>
        <xdr:cNvPr id="5" name="Chart 4">
          <a:extLst>
            <a:ext uri="{FF2B5EF4-FFF2-40B4-BE49-F238E27FC236}">
              <a16:creationId xmlns:a16="http://schemas.microsoft.com/office/drawing/2014/main" id="{8C951CE6-6589-4D0F-A985-1CD8E044A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200025</xdr:colOff>
      <xdr:row>46</xdr:row>
      <xdr:rowOff>161925</xdr:rowOff>
    </xdr:from>
    <xdr:to>
      <xdr:col>8</xdr:col>
      <xdr:colOff>57150</xdr:colOff>
      <xdr:row>56</xdr:row>
      <xdr:rowOff>19051</xdr:rowOff>
    </xdr:to>
    <xdr:graphicFrame macro="">
      <xdr:nvGraphicFramePr>
        <xdr:cNvPr id="6" name="Chart 5">
          <a:extLst>
            <a:ext uri="{FF2B5EF4-FFF2-40B4-BE49-F238E27FC236}">
              <a16:creationId xmlns:a16="http://schemas.microsoft.com/office/drawing/2014/main" id="{EE09DAFF-5E4E-4A6B-AAC3-3B9542FEA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495300</xdr:colOff>
      <xdr:row>77</xdr:row>
      <xdr:rowOff>42862</xdr:rowOff>
    </xdr:from>
    <xdr:to>
      <xdr:col>10</xdr:col>
      <xdr:colOff>381000</xdr:colOff>
      <xdr:row>92</xdr:row>
      <xdr:rowOff>71437</xdr:rowOff>
    </xdr:to>
    <xdr:graphicFrame macro="">
      <xdr:nvGraphicFramePr>
        <xdr:cNvPr id="7" name="Chart 6">
          <a:extLst>
            <a:ext uri="{FF2B5EF4-FFF2-40B4-BE49-F238E27FC236}">
              <a16:creationId xmlns:a16="http://schemas.microsoft.com/office/drawing/2014/main" id="{0A759BF3-2762-409C-88F1-B488225F8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295275</xdr:colOff>
      <xdr:row>0</xdr:row>
      <xdr:rowOff>152400</xdr:rowOff>
    </xdr:from>
    <xdr:to>
      <xdr:col>8</xdr:col>
      <xdr:colOff>495300</xdr:colOff>
      <xdr:row>14</xdr:row>
      <xdr:rowOff>142875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7DAC6479-04EC-4D1A-BBDA-4FBBE17A972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248525"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2</xdr:row>
      <xdr:rowOff>171450</xdr:rowOff>
    </xdr:from>
    <xdr:to>
      <xdr:col>12</xdr:col>
      <xdr:colOff>152400</xdr:colOff>
      <xdr:row>16</xdr:row>
      <xdr:rowOff>161925</xdr:rowOff>
    </xdr:to>
    <mc:AlternateContent xmlns:mc="http://schemas.openxmlformats.org/markup-compatibility/2006" xmlns:a14="http://schemas.microsoft.com/office/drawing/2010/main">
      <mc:Choice Requires="a14">
        <xdr:graphicFrame macro="">
          <xdr:nvGraphicFramePr>
            <xdr:cNvPr id="10" name="Order Mode">
              <a:extLst>
                <a:ext uri="{FF2B5EF4-FFF2-40B4-BE49-F238E27FC236}">
                  <a16:creationId xmlns:a16="http://schemas.microsoft.com/office/drawing/2014/main" id="{9D07459B-82BF-477F-B18C-4F7B797BB356}"/>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0153650" y="533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1828800</xdr:colOff>
      <xdr:row>9</xdr:row>
      <xdr:rowOff>152401</xdr:rowOff>
    </xdr:from>
    <xdr:to>
      <xdr:col>10</xdr:col>
      <xdr:colOff>57150</xdr:colOff>
      <xdr:row>17</xdr:row>
      <xdr:rowOff>152401</xdr:rowOff>
    </xdr:to>
    <mc:AlternateContent xmlns:mc="http://schemas.openxmlformats.org/markup-compatibility/2006" xmlns:a14="http://schemas.microsoft.com/office/drawing/2010/main">
      <mc:Choice Requires="a14">
        <xdr:graphicFrame macro="">
          <xdr:nvGraphicFramePr>
            <xdr:cNvPr id="11" name="Gender Value">
              <a:extLst>
                <a:ext uri="{FF2B5EF4-FFF2-40B4-BE49-F238E27FC236}">
                  <a16:creationId xmlns:a16="http://schemas.microsoft.com/office/drawing/2014/main" id="{06FC7D12-1960-4DDB-83C1-1A337F8AEDB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8782050" y="1781176"/>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3</xdr:row>
      <xdr:rowOff>142875</xdr:rowOff>
    </xdr:from>
    <xdr:to>
      <xdr:col>6</xdr:col>
      <xdr:colOff>409575</xdr:colOff>
      <xdr:row>17</xdr:row>
      <xdr:rowOff>133350</xdr:rowOff>
    </xdr:to>
    <mc:AlternateContent xmlns:mc="http://schemas.openxmlformats.org/markup-compatibility/2006" xmlns:a14="http://schemas.microsoft.com/office/drawing/2010/main">
      <mc:Choice Requires="a14">
        <xdr:graphicFrame macro="">
          <xdr:nvGraphicFramePr>
            <xdr:cNvPr id="13" name="Rating C">
              <a:extLst>
                <a:ext uri="{FF2B5EF4-FFF2-40B4-BE49-F238E27FC236}">
                  <a16:creationId xmlns:a16="http://schemas.microsoft.com/office/drawing/2014/main" id="{2E72D8AF-40B9-4A47-8EED-6ECAD15D7983}"/>
                </a:ext>
              </a:extLst>
            </xdr:cNvPr>
            <xdr:cNvGraphicFramePr/>
          </xdr:nvGraphicFramePr>
          <xdr:xfrm>
            <a:off x="0" y="0"/>
            <a:ext cx="0" cy="0"/>
          </xdr:xfrm>
          <a:graphic>
            <a:graphicData uri="http://schemas.microsoft.com/office/drawing/2010/slicer">
              <sle:slicer xmlns:sle="http://schemas.microsoft.com/office/drawing/2010/slicer" name="Rating C"/>
            </a:graphicData>
          </a:graphic>
        </xdr:graphicFrame>
      </mc:Choice>
      <mc:Fallback xmlns="">
        <xdr:sp macro="" textlink="">
          <xdr:nvSpPr>
            <xdr:cNvPr id="0" name=""/>
            <xdr:cNvSpPr>
              <a:spLocks noTextEdit="1"/>
            </xdr:cNvSpPr>
          </xdr:nvSpPr>
          <xdr:spPr>
            <a:xfrm>
              <a:off x="4848225" y="685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819150</xdr:colOff>
      <xdr:row>100</xdr:row>
      <xdr:rowOff>47625</xdr:rowOff>
    </xdr:from>
    <xdr:to>
      <xdr:col>3</xdr:col>
      <xdr:colOff>1081088</xdr:colOff>
      <xdr:row>112</xdr:row>
      <xdr:rowOff>71438</xdr:rowOff>
    </xdr:to>
    <xdr:graphicFrame macro="">
      <xdr:nvGraphicFramePr>
        <xdr:cNvPr id="15" name="Chart 14">
          <a:extLst>
            <a:ext uri="{FF2B5EF4-FFF2-40B4-BE49-F238E27FC236}">
              <a16:creationId xmlns:a16="http://schemas.microsoft.com/office/drawing/2014/main" id="{3E3B0980-4961-412B-B108-106327FFF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376237</xdr:colOff>
      <xdr:row>116</xdr:row>
      <xdr:rowOff>147637</xdr:rowOff>
    </xdr:from>
    <xdr:to>
      <xdr:col>5</xdr:col>
      <xdr:colOff>681037</xdr:colOff>
      <xdr:row>131</xdr:row>
      <xdr:rowOff>176212</xdr:rowOff>
    </xdr:to>
    <xdr:graphicFrame macro="">
      <xdr:nvGraphicFramePr>
        <xdr:cNvPr id="16" name="Chart 15">
          <a:extLst>
            <a:ext uri="{FF2B5EF4-FFF2-40B4-BE49-F238E27FC236}">
              <a16:creationId xmlns:a16="http://schemas.microsoft.com/office/drawing/2014/main" id="{A10E75E0-AEBF-4114-8728-756B90C49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57150</xdr:colOff>
      <xdr:row>127</xdr:row>
      <xdr:rowOff>42862</xdr:rowOff>
    </xdr:from>
    <xdr:to>
      <xdr:col>13</xdr:col>
      <xdr:colOff>247650</xdr:colOff>
      <xdr:row>142</xdr:row>
      <xdr:rowOff>71437</xdr:rowOff>
    </xdr:to>
    <xdr:graphicFrame macro="">
      <xdr:nvGraphicFramePr>
        <xdr:cNvPr id="2" name="Chart 1">
          <a:extLst>
            <a:ext uri="{FF2B5EF4-FFF2-40B4-BE49-F238E27FC236}">
              <a16:creationId xmlns:a16="http://schemas.microsoft.com/office/drawing/2014/main" id="{9E60CF7D-71DB-46D5-AB4D-A96E72229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676275</xdr:colOff>
      <xdr:row>126</xdr:row>
      <xdr:rowOff>114300</xdr:rowOff>
    </xdr:from>
    <xdr:to>
      <xdr:col>5</xdr:col>
      <xdr:colOff>733425</xdr:colOff>
      <xdr:row>140</xdr:row>
      <xdr:rowOff>104775</xdr:rowOff>
    </xdr:to>
    <mc:AlternateContent xmlns:mc="http://schemas.openxmlformats.org/markup-compatibility/2006" xmlns:a14="http://schemas.microsoft.com/office/drawing/2010/main">
      <mc:Choice Requires="a14">
        <xdr:graphicFrame macro="">
          <xdr:nvGraphicFramePr>
            <xdr:cNvPr id="9" name="Customer Gender">
              <a:extLst>
                <a:ext uri="{FF2B5EF4-FFF2-40B4-BE49-F238E27FC236}">
                  <a16:creationId xmlns:a16="http://schemas.microsoft.com/office/drawing/2014/main" id="{68F4342B-3EAB-470A-A14A-FC41F2B5D9B8}"/>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4838700" y="2291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128</xdr:row>
      <xdr:rowOff>104775</xdr:rowOff>
    </xdr:from>
    <xdr:to>
      <xdr:col>16</xdr:col>
      <xdr:colOff>533400</xdr:colOff>
      <xdr:row>142</xdr:row>
      <xdr:rowOff>95250</xdr:rowOff>
    </xdr:to>
    <mc:AlternateContent xmlns:mc="http://schemas.openxmlformats.org/markup-compatibility/2006" xmlns:a14="http://schemas.microsoft.com/office/drawing/2010/main">
      <mc:Choice Requires="a14">
        <xdr:graphicFrame macro="">
          <xdr:nvGraphicFramePr>
            <xdr:cNvPr id="12" name="Customer Gender 2">
              <a:extLst>
                <a:ext uri="{FF2B5EF4-FFF2-40B4-BE49-F238E27FC236}">
                  <a16:creationId xmlns:a16="http://schemas.microsoft.com/office/drawing/2014/main" id="{63AD0545-A677-4625-8162-CAAC74EC3C63}"/>
                </a:ext>
              </a:extLst>
            </xdr:cNvPr>
            <xdr:cNvGraphicFramePr/>
          </xdr:nvGraphicFramePr>
          <xdr:xfrm>
            <a:off x="0" y="0"/>
            <a:ext cx="0" cy="0"/>
          </xdr:xfrm>
          <a:graphic>
            <a:graphicData uri="http://schemas.microsoft.com/office/drawing/2010/slicer">
              <sle:slicer xmlns:sle="http://schemas.microsoft.com/office/drawing/2010/slicer" name="Customer Gender 2"/>
            </a:graphicData>
          </a:graphic>
        </xdr:graphicFrame>
      </mc:Choice>
      <mc:Fallback xmlns="">
        <xdr:sp macro="" textlink="">
          <xdr:nvSpPr>
            <xdr:cNvPr id="0" name=""/>
            <xdr:cNvSpPr>
              <a:spLocks noTextEdit="1"/>
            </xdr:cNvSpPr>
          </xdr:nvSpPr>
          <xdr:spPr>
            <a:xfrm>
              <a:off x="14658975" y="2326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476250</xdr:colOff>
      <xdr:row>32</xdr:row>
      <xdr:rowOff>57150</xdr:rowOff>
    </xdr:from>
    <xdr:to>
      <xdr:col>7</xdr:col>
      <xdr:colOff>304800</xdr:colOff>
      <xdr:row>46</xdr:row>
      <xdr:rowOff>47625</xdr:rowOff>
    </xdr:to>
    <mc:AlternateContent xmlns:mc="http://schemas.openxmlformats.org/markup-compatibility/2006" xmlns:a14="http://schemas.microsoft.com/office/drawing/2010/main">
      <mc:Choice Requires="a14">
        <xdr:graphicFrame macro="">
          <xdr:nvGraphicFramePr>
            <xdr:cNvPr id="14" name="Order Date">
              <a:extLst>
                <a:ext uri="{FF2B5EF4-FFF2-40B4-BE49-F238E27FC236}">
                  <a16:creationId xmlns:a16="http://schemas.microsoft.com/office/drawing/2014/main" id="{88A6C552-C0E8-4783-B7BE-F3ED08DEE955}"/>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6410325" y="5848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504825</xdr:colOff>
      <xdr:row>34</xdr:row>
      <xdr:rowOff>152400</xdr:rowOff>
    </xdr:from>
    <xdr:to>
      <xdr:col>8</xdr:col>
      <xdr:colOff>704850</xdr:colOff>
      <xdr:row>48</xdr:row>
      <xdr:rowOff>142875</xdr:rowOff>
    </xdr:to>
    <mc:AlternateContent xmlns:mc="http://schemas.openxmlformats.org/markup-compatibility/2006" xmlns:a14="http://schemas.microsoft.com/office/drawing/2010/main">
      <mc:Choice Requires="a14">
        <xdr:graphicFrame macro="">
          <xdr:nvGraphicFramePr>
            <xdr:cNvPr id="17" name="Ship Date">
              <a:extLst>
                <a:ext uri="{FF2B5EF4-FFF2-40B4-BE49-F238E27FC236}">
                  <a16:creationId xmlns:a16="http://schemas.microsoft.com/office/drawing/2014/main" id="{0440D64E-E824-41ED-AD69-01CD23F7115B}"/>
                </a:ext>
              </a:extLst>
            </xdr:cNvPr>
            <xdr:cNvGraphicFramePr/>
          </xdr:nvGraphicFramePr>
          <xdr:xfrm>
            <a:off x="0" y="0"/>
            <a:ext cx="0" cy="0"/>
          </xdr:xfrm>
          <a:graphic>
            <a:graphicData uri="http://schemas.microsoft.com/office/drawing/2010/slicer">
              <sle:slicer xmlns:sle="http://schemas.microsoft.com/office/drawing/2010/slicer" name="Ship Date"/>
            </a:graphicData>
          </a:graphic>
        </xdr:graphicFrame>
      </mc:Choice>
      <mc:Fallback xmlns="">
        <xdr:sp macro="" textlink="">
          <xdr:nvSpPr>
            <xdr:cNvPr id="0" name=""/>
            <xdr:cNvSpPr>
              <a:spLocks noTextEdit="1"/>
            </xdr:cNvSpPr>
          </xdr:nvSpPr>
          <xdr:spPr>
            <a:xfrm>
              <a:off x="8439150" y="6305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1047750</xdr:colOff>
      <xdr:row>33</xdr:row>
      <xdr:rowOff>114300</xdr:rowOff>
    </xdr:from>
    <xdr:to>
      <xdr:col>6</xdr:col>
      <xdr:colOff>104775</xdr:colOff>
      <xdr:row>47</xdr:row>
      <xdr:rowOff>104775</xdr:rowOff>
    </xdr:to>
    <mc:AlternateContent xmlns:mc="http://schemas.openxmlformats.org/markup-compatibility/2006" xmlns:a14="http://schemas.microsoft.com/office/drawing/2010/main">
      <mc:Choice Requires="a14">
        <xdr:graphicFrame macro="">
          <xdr:nvGraphicFramePr>
            <xdr:cNvPr id="18" name="County">
              <a:extLst>
                <a:ext uri="{FF2B5EF4-FFF2-40B4-BE49-F238E27FC236}">
                  <a16:creationId xmlns:a16="http://schemas.microsoft.com/office/drawing/2014/main" id="{9A584F82-76C3-448D-9696-7ECD40E9AF7A}"/>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5210175" y="6086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809625</xdr:colOff>
      <xdr:row>32</xdr:row>
      <xdr:rowOff>57150</xdr:rowOff>
    </xdr:from>
    <xdr:to>
      <xdr:col>5</xdr:col>
      <xdr:colOff>866775</xdr:colOff>
      <xdr:row>46</xdr:row>
      <xdr:rowOff>47625</xdr:rowOff>
    </xdr:to>
    <mc:AlternateContent xmlns:mc="http://schemas.openxmlformats.org/markup-compatibility/2006" xmlns:a14="http://schemas.microsoft.com/office/drawing/2010/main">
      <mc:Choice Requires="a14">
        <xdr:graphicFrame macro="">
          <xdr:nvGraphicFramePr>
            <xdr:cNvPr id="19" name="Product 1">
              <a:extLst>
                <a:ext uri="{FF2B5EF4-FFF2-40B4-BE49-F238E27FC236}">
                  <a16:creationId xmlns:a16="http://schemas.microsoft.com/office/drawing/2014/main" id="{19DDB256-C345-4F9A-BA99-A9B141DB2B3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972050" y="5848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447675</xdr:colOff>
      <xdr:row>32</xdr:row>
      <xdr:rowOff>9525</xdr:rowOff>
    </xdr:from>
    <xdr:to>
      <xdr:col>8</xdr:col>
      <xdr:colOff>647700</xdr:colOff>
      <xdr:row>46</xdr:row>
      <xdr:rowOff>0</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56B441D7-A9A0-46EB-BD24-0C1D1F7A303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382000" y="5800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0.569719907406" createdVersion="6" refreshedVersion="6" minRefreshableVersion="3" recordCount="2400" xr:uid="{F7145601-A31E-4A2B-B537-0840789FF9B9}">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5"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cacheField>
    <cacheField name="Customer Gender" numFmtId="0">
      <sharedItems count="4">
        <s v="M"/>
        <s v="F"/>
        <s v=""/>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ount="4">
        <s v="Male"/>
        <s v="Female"/>
        <s v="Unknown"/>
        <s v="Other"/>
      </sharedItems>
    </cacheField>
    <cacheField name="Months"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4725146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0.594731018522" backgroundQuery="1" createdVersion="6" refreshedVersion="6" minRefreshableVersion="3" recordCount="0" supportSubquery="1" supportAdvancedDrill="1" xr:uid="{32A868BF-4E62-4667-A107-3FB08B7AF650}">
  <cacheSource type="external" connectionId="1"/>
  <cacheFields count="2">
    <cacheField name="[orders].[Order Status].[Order Status]" caption="Order Status" numFmtId="0" hierarchy="15" level="1">
      <sharedItems count="4">
        <s v="Cancelled"/>
        <s v="Delivered"/>
        <s v="Refunded"/>
        <s v="Reordered"/>
      </sharedItems>
    </cacheField>
    <cacheField name="[Measures].[Sum of Quantity]" caption="Sum of Quantity" numFmtId="0" hierarchy="18" level="32767"/>
  </cacheFields>
  <cacheHierarchies count="1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0"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orders].[Order Status]" caption="Order Status" attribute="1" defaultMemberUniqueName="[orders].[Order Status].[All]" allUniqueName="[orders].[Order Status].[All]" dimensionUniqueName="[orders]" displayFolder="" count="2" memberValueDatatype="130" unbalanced="0">
      <fieldsUsage count="2">
        <fieldUsage x="-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1.547219097221" createdVersion="6" refreshedVersion="6" minRefreshableVersion="3" recordCount="5" xr:uid="{2C65ED31-12C3-46C0-9560-0DFA90C93057}">
  <cacheSource type="worksheet">
    <worksheetSource ref="W7:W12" sheet="Data"/>
  </cacheSource>
  <cacheFields count="1">
    <cacheField name="🛒" numFmtId="0">
      <sharedItems containsBlank="1" count="5">
        <s v="👕"/>
        <s v="💰"/>
        <s v="⭐"/>
        <s v="📅"/>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n v="1"/>
    <n v="10.9"/>
    <n v="10.9"/>
    <x v="0"/>
    <x v="0"/>
    <x v="0"/>
    <x v="0"/>
    <x v="0"/>
    <x v="0"/>
    <x v="0"/>
    <n v="5"/>
    <n v="1"/>
    <x v="0"/>
  </r>
  <r>
    <s v="TX500002"/>
    <x v="1"/>
    <n v="2"/>
    <n v="30.6"/>
    <n v="61.2"/>
    <x v="0"/>
    <x v="1"/>
    <x v="0"/>
    <x v="0"/>
    <x v="0"/>
    <x v="0"/>
    <x v="1"/>
    <n v="2"/>
    <n v="1"/>
    <x v="0"/>
  </r>
  <r>
    <s v="TX500003"/>
    <x v="2"/>
    <n v="3"/>
    <n v="109.4"/>
    <n v="328.20000000000005"/>
    <x v="0"/>
    <x v="2"/>
    <x v="1"/>
    <x v="0"/>
    <x v="1"/>
    <x v="0"/>
    <x v="2"/>
    <n v="3"/>
    <n v="1"/>
    <x v="1"/>
  </r>
  <r>
    <s v="TX500004"/>
    <x v="3"/>
    <n v="7"/>
    <n v="37.700000000000003"/>
    <n v="263.90000000000003"/>
    <x v="0"/>
    <x v="3"/>
    <x v="1"/>
    <x v="0"/>
    <x v="0"/>
    <x v="0"/>
    <x v="2"/>
    <n v="1"/>
    <n v="1"/>
    <x v="1"/>
  </r>
  <r>
    <s v="TX500005"/>
    <x v="4"/>
    <n v="3"/>
    <n v="56.7"/>
    <n v="170.10000000000002"/>
    <x v="0"/>
    <x v="2"/>
    <x v="1"/>
    <x v="0"/>
    <x v="2"/>
    <x v="0"/>
    <x v="3"/>
    <n v="3"/>
    <n v="1"/>
    <x v="1"/>
  </r>
  <r>
    <s v="TX500006"/>
    <x v="1"/>
    <n v="12"/>
    <n v="83.5"/>
    <n v="1002"/>
    <x v="0"/>
    <x v="2"/>
    <x v="0"/>
    <x v="1"/>
    <x v="0"/>
    <x v="0"/>
    <x v="3"/>
    <n v="3"/>
    <n v="1"/>
    <x v="0"/>
  </r>
  <r>
    <s v="TX500007"/>
    <x v="5"/>
    <n v="1"/>
    <n v="55.3"/>
    <n v="55.3"/>
    <x v="0"/>
    <x v="3"/>
    <x v="1"/>
    <x v="0"/>
    <x v="0"/>
    <x v="0"/>
    <x v="3"/>
    <n v="1"/>
    <n v="1"/>
    <x v="1"/>
  </r>
  <r>
    <s v="TX500008"/>
    <x v="6"/>
    <n v="2"/>
    <n v="40.299999999999997"/>
    <n v="80.599999999999994"/>
    <x v="0"/>
    <x v="3"/>
    <x v="0"/>
    <x v="2"/>
    <x v="2"/>
    <x v="0"/>
    <x v="3"/>
    <n v="1"/>
    <n v="1"/>
    <x v="0"/>
  </r>
  <r>
    <s v="TX500009"/>
    <x v="7"/>
    <n v="11"/>
    <n v="35.700000000000003"/>
    <n v="392.70000000000005"/>
    <x v="0"/>
    <x v="3"/>
    <x v="1"/>
    <x v="0"/>
    <x v="0"/>
    <x v="0"/>
    <x v="3"/>
    <n v="1"/>
    <n v="1"/>
    <x v="1"/>
  </r>
  <r>
    <s v="TX500010"/>
    <x v="8"/>
    <n v="7"/>
    <n v="22.4"/>
    <n v="156.79999999999998"/>
    <x v="0"/>
    <x v="2"/>
    <x v="0"/>
    <x v="0"/>
    <x v="1"/>
    <x v="0"/>
    <x v="3"/>
    <n v="3"/>
    <n v="1"/>
    <x v="0"/>
  </r>
  <r>
    <s v="TX500011"/>
    <x v="9"/>
    <n v="2"/>
    <n v="54.4"/>
    <n v="108.8"/>
    <x v="0"/>
    <x v="4"/>
    <x v="1"/>
    <x v="0"/>
    <x v="0"/>
    <x v="0"/>
    <x v="3"/>
    <n v="6"/>
    <n v="1"/>
    <x v="1"/>
  </r>
  <r>
    <s v="TX500012"/>
    <x v="9"/>
    <n v="2"/>
    <n v="49"/>
    <n v="98"/>
    <x v="0"/>
    <x v="1"/>
    <x v="1"/>
    <x v="2"/>
    <x v="1"/>
    <x v="0"/>
    <x v="3"/>
    <n v="2"/>
    <n v="1"/>
    <x v="1"/>
  </r>
  <r>
    <s v="TX500013"/>
    <x v="5"/>
    <n v="7"/>
    <n v="118.6"/>
    <n v="830.19999999999993"/>
    <x v="0"/>
    <x v="5"/>
    <x v="1"/>
    <x v="1"/>
    <x v="0"/>
    <x v="0"/>
    <x v="4"/>
    <n v="4"/>
    <n v="1"/>
    <x v="1"/>
  </r>
  <r>
    <s v="TX500014"/>
    <x v="6"/>
    <n v="27"/>
    <n v="88.4"/>
    <n v="2386.8000000000002"/>
    <x v="0"/>
    <x v="6"/>
    <x v="0"/>
    <x v="3"/>
    <x v="0"/>
    <x v="0"/>
    <x v="5"/>
    <n v="7"/>
    <n v="1"/>
    <x v="0"/>
  </r>
  <r>
    <s v="TX500015"/>
    <x v="10"/>
    <n v="1"/>
    <n v="66.7"/>
    <n v="66.7"/>
    <x v="0"/>
    <x v="2"/>
    <x v="0"/>
    <x v="0"/>
    <x v="0"/>
    <x v="0"/>
    <x v="6"/>
    <n v="3"/>
    <n v="1"/>
    <x v="0"/>
  </r>
  <r>
    <s v="TX500016"/>
    <x v="9"/>
    <n v="10"/>
    <n v="30.9"/>
    <n v="309"/>
    <x v="0"/>
    <x v="3"/>
    <x v="0"/>
    <x v="1"/>
    <x v="2"/>
    <x v="0"/>
    <x v="6"/>
    <n v="1"/>
    <n v="1"/>
    <x v="0"/>
  </r>
  <r>
    <s v="TX500017"/>
    <x v="4"/>
    <n v="3"/>
    <n v="31.1"/>
    <n v="93.300000000000011"/>
    <x v="0"/>
    <x v="3"/>
    <x v="1"/>
    <x v="0"/>
    <x v="1"/>
    <x v="0"/>
    <x v="6"/>
    <n v="1"/>
    <n v="1"/>
    <x v="1"/>
  </r>
  <r>
    <s v="TX500018"/>
    <x v="7"/>
    <n v="3"/>
    <n v="36.6"/>
    <n v="109.80000000000001"/>
    <x v="0"/>
    <x v="2"/>
    <x v="1"/>
    <x v="0"/>
    <x v="0"/>
    <x v="0"/>
    <x v="7"/>
    <n v="3"/>
    <n v="1"/>
    <x v="1"/>
  </r>
  <r>
    <s v="TX500019"/>
    <x v="6"/>
    <n v="8"/>
    <n v="51.1"/>
    <n v="408.8"/>
    <x v="0"/>
    <x v="2"/>
    <x v="1"/>
    <x v="2"/>
    <x v="3"/>
    <x v="0"/>
    <x v="7"/>
    <n v="3"/>
    <n v="1"/>
    <x v="1"/>
  </r>
  <r>
    <s v="TX500020"/>
    <x v="9"/>
    <n v="1"/>
    <n v="25.2"/>
    <n v="25.2"/>
    <x v="0"/>
    <x v="3"/>
    <x v="1"/>
    <x v="1"/>
    <x v="2"/>
    <x v="0"/>
    <x v="8"/>
    <n v="1"/>
    <n v="1"/>
    <x v="1"/>
  </r>
  <r>
    <s v="TX500021"/>
    <x v="9"/>
    <n v="5"/>
    <n v="43.8"/>
    <n v="219"/>
    <x v="0"/>
    <x v="2"/>
    <x v="1"/>
    <x v="2"/>
    <x v="0"/>
    <x v="0"/>
    <x v="8"/>
    <n v="3"/>
    <n v="1"/>
    <x v="1"/>
  </r>
  <r>
    <s v="TX500022"/>
    <x v="8"/>
    <n v="12"/>
    <n v="46.7"/>
    <n v="560.40000000000009"/>
    <x v="0"/>
    <x v="3"/>
    <x v="1"/>
    <x v="1"/>
    <x v="1"/>
    <x v="0"/>
    <x v="8"/>
    <n v="1"/>
    <n v="1"/>
    <x v="1"/>
  </r>
  <r>
    <s v="TX500023"/>
    <x v="3"/>
    <n v="19"/>
    <n v="79.900000000000006"/>
    <n v="1518.1000000000001"/>
    <x v="0"/>
    <x v="3"/>
    <x v="0"/>
    <x v="0"/>
    <x v="2"/>
    <x v="0"/>
    <x v="8"/>
    <n v="1"/>
    <n v="1"/>
    <x v="0"/>
  </r>
  <r>
    <s v="TX500024"/>
    <x v="11"/>
    <n v="8"/>
    <n v="26.4"/>
    <n v="211.2"/>
    <x v="0"/>
    <x v="3"/>
    <x v="1"/>
    <x v="3"/>
    <x v="0"/>
    <x v="0"/>
    <x v="8"/>
    <n v="1"/>
    <n v="1"/>
    <x v="1"/>
  </r>
  <r>
    <s v="TX500025"/>
    <x v="12"/>
    <n v="8"/>
    <n v="88.8"/>
    <n v="710.4"/>
    <x v="0"/>
    <x v="3"/>
    <x v="1"/>
    <x v="4"/>
    <x v="0"/>
    <x v="0"/>
    <x v="8"/>
    <n v="1"/>
    <n v="1"/>
    <x v="1"/>
  </r>
  <r>
    <s v="TX500026"/>
    <x v="0"/>
    <n v="10"/>
    <n v="17.5"/>
    <n v="175"/>
    <x v="0"/>
    <x v="3"/>
    <x v="1"/>
    <x v="2"/>
    <x v="0"/>
    <x v="0"/>
    <x v="9"/>
    <n v="1"/>
    <n v="1"/>
    <x v="1"/>
  </r>
  <r>
    <s v="TX500027"/>
    <x v="1"/>
    <n v="9"/>
    <n v="38.700000000000003"/>
    <n v="348.3"/>
    <x v="0"/>
    <x v="2"/>
    <x v="0"/>
    <x v="1"/>
    <x v="0"/>
    <x v="0"/>
    <x v="10"/>
    <n v="3"/>
    <n v="1"/>
    <x v="0"/>
  </r>
  <r>
    <s v="TX500028"/>
    <x v="13"/>
    <n v="4"/>
    <n v="57.2"/>
    <n v="228.8"/>
    <x v="0"/>
    <x v="1"/>
    <x v="2"/>
    <x v="1"/>
    <x v="2"/>
    <x v="0"/>
    <x v="11"/>
    <n v="2"/>
    <n v="1"/>
    <x v="2"/>
  </r>
  <r>
    <s v="TX500029"/>
    <x v="6"/>
    <n v="5"/>
    <n v="50.9"/>
    <n v="254.5"/>
    <x v="0"/>
    <x v="4"/>
    <x v="2"/>
    <x v="1"/>
    <x v="2"/>
    <x v="0"/>
    <x v="12"/>
    <n v="6"/>
    <n v="1"/>
    <x v="2"/>
  </r>
  <r>
    <s v="TX500030"/>
    <x v="14"/>
    <n v="7"/>
    <n v="41"/>
    <n v="287"/>
    <x v="0"/>
    <x v="5"/>
    <x v="1"/>
    <x v="1"/>
    <x v="0"/>
    <x v="0"/>
    <x v="13"/>
    <n v="4"/>
    <n v="1"/>
    <x v="1"/>
  </r>
  <r>
    <s v="TX500031"/>
    <x v="8"/>
    <n v="7"/>
    <n v="19.100000000000001"/>
    <n v="133.70000000000002"/>
    <x v="0"/>
    <x v="5"/>
    <x v="0"/>
    <x v="0"/>
    <x v="2"/>
    <x v="0"/>
    <x v="14"/>
    <n v="4"/>
    <n v="1"/>
    <x v="0"/>
  </r>
  <r>
    <s v="TX500032"/>
    <x v="2"/>
    <n v="5"/>
    <n v="166.1"/>
    <n v="830.5"/>
    <x v="0"/>
    <x v="2"/>
    <x v="0"/>
    <x v="0"/>
    <x v="0"/>
    <x v="0"/>
    <x v="15"/>
    <n v="3"/>
    <n v="1"/>
    <x v="0"/>
  </r>
  <r>
    <s v="TX500033"/>
    <x v="4"/>
    <n v="3"/>
    <n v="29.9"/>
    <n v="89.699999999999989"/>
    <x v="0"/>
    <x v="3"/>
    <x v="0"/>
    <x v="3"/>
    <x v="0"/>
    <x v="0"/>
    <x v="3"/>
    <n v="1"/>
    <n v="1"/>
    <x v="0"/>
  </r>
  <r>
    <s v="TX500034"/>
    <x v="10"/>
    <n v="6"/>
    <n v="21.7"/>
    <n v="130.19999999999999"/>
    <x v="0"/>
    <x v="1"/>
    <x v="3"/>
    <x v="2"/>
    <x v="2"/>
    <x v="0"/>
    <x v="3"/>
    <n v="2"/>
    <n v="1"/>
    <x v="3"/>
  </r>
  <r>
    <s v="TX500035"/>
    <x v="11"/>
    <n v="2"/>
    <n v="32"/>
    <n v="64"/>
    <x v="0"/>
    <x v="2"/>
    <x v="0"/>
    <x v="0"/>
    <x v="2"/>
    <x v="0"/>
    <x v="3"/>
    <n v="3"/>
    <n v="1"/>
    <x v="0"/>
  </r>
  <r>
    <s v="TX500036"/>
    <x v="8"/>
    <n v="2"/>
    <n v="15.8"/>
    <n v="31.6"/>
    <x v="0"/>
    <x v="3"/>
    <x v="0"/>
    <x v="4"/>
    <x v="2"/>
    <x v="0"/>
    <x v="3"/>
    <n v="1"/>
    <n v="1"/>
    <x v="0"/>
  </r>
  <r>
    <s v="TX500037"/>
    <x v="2"/>
    <n v="17"/>
    <n v="203.1"/>
    <n v="3452.7"/>
    <x v="0"/>
    <x v="5"/>
    <x v="0"/>
    <x v="3"/>
    <x v="1"/>
    <x v="0"/>
    <x v="3"/>
    <n v="4"/>
    <n v="1"/>
    <x v="0"/>
  </r>
  <r>
    <s v="TX500038"/>
    <x v="7"/>
    <n v="13"/>
    <n v="39"/>
    <n v="507"/>
    <x v="0"/>
    <x v="4"/>
    <x v="0"/>
    <x v="0"/>
    <x v="2"/>
    <x v="0"/>
    <x v="3"/>
    <n v="6"/>
    <n v="1"/>
    <x v="0"/>
  </r>
  <r>
    <s v="TX500039"/>
    <x v="10"/>
    <n v="1"/>
    <n v="26.5"/>
    <n v="26.5"/>
    <x v="1"/>
    <x v="1"/>
    <x v="0"/>
    <x v="2"/>
    <x v="0"/>
    <x v="0"/>
    <x v="3"/>
    <n v="1"/>
    <n v="1"/>
    <x v="0"/>
  </r>
  <r>
    <s v="TX500040"/>
    <x v="5"/>
    <n v="1"/>
    <n v="43.1"/>
    <n v="43.1"/>
    <x v="1"/>
    <x v="1"/>
    <x v="1"/>
    <x v="2"/>
    <x v="1"/>
    <x v="0"/>
    <x v="3"/>
    <n v="1"/>
    <n v="1"/>
    <x v="1"/>
  </r>
  <r>
    <s v="TX500041"/>
    <x v="1"/>
    <n v="3"/>
    <n v="139"/>
    <n v="417"/>
    <x v="1"/>
    <x v="1"/>
    <x v="1"/>
    <x v="4"/>
    <x v="2"/>
    <x v="0"/>
    <x v="3"/>
    <n v="1"/>
    <n v="1"/>
    <x v="1"/>
  </r>
  <r>
    <s v="TX500042"/>
    <x v="12"/>
    <n v="1"/>
    <n v="80.7"/>
    <n v="80.7"/>
    <x v="1"/>
    <x v="1"/>
    <x v="0"/>
    <x v="0"/>
    <x v="2"/>
    <x v="0"/>
    <x v="16"/>
    <n v="1"/>
    <n v="1"/>
    <x v="0"/>
  </r>
  <r>
    <s v="TX500043"/>
    <x v="4"/>
    <n v="2"/>
    <n v="54.5"/>
    <n v="109"/>
    <x v="1"/>
    <x v="2"/>
    <x v="0"/>
    <x v="1"/>
    <x v="1"/>
    <x v="0"/>
    <x v="6"/>
    <n v="2"/>
    <n v="1"/>
    <x v="0"/>
  </r>
  <r>
    <s v="TX500044"/>
    <x v="6"/>
    <n v="3"/>
    <n v="68.599999999999994"/>
    <n v="205.79999999999998"/>
    <x v="1"/>
    <x v="3"/>
    <x v="1"/>
    <x v="0"/>
    <x v="1"/>
    <x v="0"/>
    <x v="8"/>
    <n v="0"/>
    <n v="1"/>
    <x v="1"/>
  </r>
  <r>
    <s v="TX500045"/>
    <x v="2"/>
    <n v="4"/>
    <n v="135.9"/>
    <n v="543.6"/>
    <x v="1"/>
    <x v="1"/>
    <x v="1"/>
    <x v="2"/>
    <x v="2"/>
    <x v="0"/>
    <x v="8"/>
    <n v="1"/>
    <n v="1"/>
    <x v="1"/>
  </r>
  <r>
    <s v="TX500046"/>
    <x v="2"/>
    <n v="4"/>
    <n v="70.900000000000006"/>
    <n v="283.60000000000002"/>
    <x v="1"/>
    <x v="1"/>
    <x v="1"/>
    <x v="0"/>
    <x v="0"/>
    <x v="0"/>
    <x v="17"/>
    <n v="1"/>
    <n v="1"/>
    <x v="1"/>
  </r>
  <r>
    <s v="TX500047"/>
    <x v="1"/>
    <n v="5"/>
    <n v="63.7"/>
    <n v="318.5"/>
    <x v="1"/>
    <x v="1"/>
    <x v="0"/>
    <x v="1"/>
    <x v="1"/>
    <x v="0"/>
    <x v="9"/>
    <n v="1"/>
    <n v="1"/>
    <x v="0"/>
  </r>
  <r>
    <s v="TX500048"/>
    <x v="13"/>
    <n v="1"/>
    <n v="29.7"/>
    <n v="29.7"/>
    <x v="1"/>
    <x v="2"/>
    <x v="1"/>
    <x v="1"/>
    <x v="0"/>
    <x v="0"/>
    <x v="11"/>
    <n v="2"/>
    <n v="1"/>
    <x v="1"/>
  </r>
  <r>
    <s v="TX500049"/>
    <x v="4"/>
    <n v="3"/>
    <n v="26.8"/>
    <n v="80.400000000000006"/>
    <x v="1"/>
    <x v="7"/>
    <x v="1"/>
    <x v="1"/>
    <x v="2"/>
    <x v="0"/>
    <x v="11"/>
    <n v="9"/>
    <n v="1"/>
    <x v="1"/>
  </r>
  <r>
    <s v="TX500050"/>
    <x v="14"/>
    <n v="1"/>
    <n v="27"/>
    <n v="27"/>
    <x v="1"/>
    <x v="2"/>
    <x v="1"/>
    <x v="0"/>
    <x v="0"/>
    <x v="0"/>
    <x v="18"/>
    <n v="2"/>
    <n v="1"/>
    <x v="1"/>
  </r>
  <r>
    <s v="TX500051"/>
    <x v="8"/>
    <n v="1"/>
    <n v="41.4"/>
    <n v="41.4"/>
    <x v="1"/>
    <x v="1"/>
    <x v="0"/>
    <x v="1"/>
    <x v="2"/>
    <x v="0"/>
    <x v="19"/>
    <n v="1"/>
    <n v="1"/>
    <x v="0"/>
  </r>
  <r>
    <s v="TX500052"/>
    <x v="8"/>
    <n v="2"/>
    <n v="24.3"/>
    <n v="48.6"/>
    <x v="1"/>
    <x v="5"/>
    <x v="1"/>
    <x v="1"/>
    <x v="0"/>
    <x v="0"/>
    <x v="19"/>
    <n v="3"/>
    <n v="1"/>
    <x v="1"/>
  </r>
  <r>
    <s v="TX500053"/>
    <x v="8"/>
    <n v="3"/>
    <n v="41.7"/>
    <n v="125.10000000000001"/>
    <x v="1"/>
    <x v="2"/>
    <x v="0"/>
    <x v="0"/>
    <x v="2"/>
    <x v="0"/>
    <x v="20"/>
    <n v="2"/>
    <n v="1"/>
    <x v="0"/>
  </r>
  <r>
    <s v="TX500054"/>
    <x v="0"/>
    <n v="2"/>
    <n v="18"/>
    <n v="36"/>
    <x v="1"/>
    <x v="1"/>
    <x v="1"/>
    <x v="0"/>
    <x v="2"/>
    <x v="0"/>
    <x v="21"/>
    <n v="1"/>
    <n v="1"/>
    <x v="1"/>
  </r>
  <r>
    <s v="TX500055"/>
    <x v="7"/>
    <n v="3"/>
    <n v="91.3"/>
    <n v="273.89999999999998"/>
    <x v="1"/>
    <x v="5"/>
    <x v="0"/>
    <x v="2"/>
    <x v="2"/>
    <x v="0"/>
    <x v="3"/>
    <n v="3"/>
    <n v="1"/>
    <x v="0"/>
  </r>
  <r>
    <s v="TX500056"/>
    <x v="8"/>
    <n v="8"/>
    <n v="19.3"/>
    <n v="154.4"/>
    <x v="1"/>
    <x v="1"/>
    <x v="0"/>
    <x v="0"/>
    <x v="0"/>
    <x v="0"/>
    <x v="3"/>
    <n v="1"/>
    <n v="1"/>
    <x v="0"/>
  </r>
  <r>
    <s v="TX500057"/>
    <x v="12"/>
    <n v="13"/>
    <n v="63.2"/>
    <n v="821.6"/>
    <x v="1"/>
    <x v="1"/>
    <x v="1"/>
    <x v="0"/>
    <x v="0"/>
    <x v="0"/>
    <x v="3"/>
    <n v="1"/>
    <n v="1"/>
    <x v="1"/>
  </r>
  <r>
    <s v="TX500058"/>
    <x v="10"/>
    <n v="9"/>
    <n v="33.299999999999997"/>
    <n v="299.7"/>
    <x v="2"/>
    <x v="7"/>
    <x v="1"/>
    <x v="0"/>
    <x v="2"/>
    <x v="0"/>
    <x v="3"/>
    <n v="8"/>
    <n v="1"/>
    <x v="1"/>
  </r>
  <r>
    <s v="TX500059"/>
    <x v="7"/>
    <n v="2"/>
    <n v="64.2"/>
    <n v="128.4"/>
    <x v="2"/>
    <x v="2"/>
    <x v="0"/>
    <x v="0"/>
    <x v="2"/>
    <x v="0"/>
    <x v="3"/>
    <n v="1"/>
    <n v="1"/>
    <x v="0"/>
  </r>
  <r>
    <s v="TX500060"/>
    <x v="9"/>
    <n v="3"/>
    <n v="23.1"/>
    <n v="69.300000000000011"/>
    <x v="2"/>
    <x v="0"/>
    <x v="1"/>
    <x v="1"/>
    <x v="2"/>
    <x v="0"/>
    <x v="3"/>
    <n v="3"/>
    <n v="1"/>
    <x v="1"/>
  </r>
  <r>
    <s v="TX500061"/>
    <x v="15"/>
    <n v="2"/>
    <n v="71.099999999999994"/>
    <n v="142.19999999999999"/>
    <x v="2"/>
    <x v="5"/>
    <x v="1"/>
    <x v="3"/>
    <x v="1"/>
    <x v="0"/>
    <x v="3"/>
    <n v="2"/>
    <n v="1"/>
    <x v="1"/>
  </r>
  <r>
    <s v="TX500062"/>
    <x v="0"/>
    <n v="2"/>
    <n v="11.5"/>
    <n v="23"/>
    <x v="2"/>
    <x v="2"/>
    <x v="1"/>
    <x v="0"/>
    <x v="0"/>
    <x v="0"/>
    <x v="3"/>
    <n v="1"/>
    <n v="1"/>
    <x v="1"/>
  </r>
  <r>
    <s v="TX500063"/>
    <x v="15"/>
    <n v="19"/>
    <n v="69.2"/>
    <n v="1314.8"/>
    <x v="2"/>
    <x v="6"/>
    <x v="1"/>
    <x v="0"/>
    <x v="0"/>
    <x v="0"/>
    <x v="3"/>
    <n v="5"/>
    <n v="1"/>
    <x v="1"/>
  </r>
  <r>
    <s v="TX500064"/>
    <x v="0"/>
    <n v="1"/>
    <n v="26.8"/>
    <n v="26.8"/>
    <x v="2"/>
    <x v="2"/>
    <x v="0"/>
    <x v="2"/>
    <x v="4"/>
    <x v="0"/>
    <x v="3"/>
    <n v="1"/>
    <n v="1"/>
    <x v="0"/>
  </r>
  <r>
    <s v="TX500065"/>
    <x v="16"/>
    <n v="3"/>
    <n v="31.2"/>
    <n v="93.6"/>
    <x v="2"/>
    <x v="0"/>
    <x v="1"/>
    <x v="0"/>
    <x v="0"/>
    <x v="0"/>
    <x v="3"/>
    <n v="3"/>
    <n v="1"/>
    <x v="1"/>
  </r>
  <r>
    <s v="TX500066"/>
    <x v="12"/>
    <n v="2"/>
    <n v="113.2"/>
    <n v="226.4"/>
    <x v="2"/>
    <x v="2"/>
    <x v="1"/>
    <x v="4"/>
    <x v="0"/>
    <x v="0"/>
    <x v="3"/>
    <n v="1"/>
    <n v="1"/>
    <x v="1"/>
  </r>
  <r>
    <s v="TX500067"/>
    <x v="10"/>
    <n v="8"/>
    <n v="21"/>
    <n v="168"/>
    <x v="2"/>
    <x v="2"/>
    <x v="0"/>
    <x v="0"/>
    <x v="0"/>
    <x v="0"/>
    <x v="6"/>
    <n v="1"/>
    <n v="1"/>
    <x v="0"/>
  </r>
  <r>
    <s v="TX500068"/>
    <x v="1"/>
    <n v="2"/>
    <n v="89.1"/>
    <n v="178.2"/>
    <x v="2"/>
    <x v="2"/>
    <x v="1"/>
    <x v="2"/>
    <x v="2"/>
    <x v="0"/>
    <x v="6"/>
    <n v="1"/>
    <n v="1"/>
    <x v="1"/>
  </r>
  <r>
    <s v="TX500069"/>
    <x v="1"/>
    <n v="1"/>
    <n v="97.7"/>
    <n v="97.7"/>
    <x v="2"/>
    <x v="5"/>
    <x v="1"/>
    <x v="0"/>
    <x v="1"/>
    <x v="0"/>
    <x v="6"/>
    <n v="2"/>
    <n v="1"/>
    <x v="1"/>
  </r>
  <r>
    <s v="TX500070"/>
    <x v="15"/>
    <n v="4"/>
    <n v="97.7"/>
    <n v="390.8"/>
    <x v="2"/>
    <x v="5"/>
    <x v="0"/>
    <x v="3"/>
    <x v="0"/>
    <x v="0"/>
    <x v="6"/>
    <n v="2"/>
    <n v="1"/>
    <x v="0"/>
  </r>
  <r>
    <s v="TX500071"/>
    <x v="17"/>
    <n v="3"/>
    <n v="47.4"/>
    <n v="142.19999999999999"/>
    <x v="2"/>
    <x v="0"/>
    <x v="0"/>
    <x v="3"/>
    <x v="2"/>
    <x v="0"/>
    <x v="8"/>
    <n v="3"/>
    <n v="1"/>
    <x v="0"/>
  </r>
  <r>
    <s v="TX500072"/>
    <x v="7"/>
    <n v="1"/>
    <n v="89.6"/>
    <n v="89.6"/>
    <x v="2"/>
    <x v="0"/>
    <x v="1"/>
    <x v="0"/>
    <x v="2"/>
    <x v="0"/>
    <x v="8"/>
    <n v="3"/>
    <n v="1"/>
    <x v="1"/>
  </r>
  <r>
    <s v="TX500073"/>
    <x v="10"/>
    <n v="18"/>
    <n v="28.4"/>
    <n v="511.2"/>
    <x v="2"/>
    <x v="0"/>
    <x v="1"/>
    <x v="3"/>
    <x v="2"/>
    <x v="0"/>
    <x v="17"/>
    <n v="3"/>
    <n v="1"/>
    <x v="1"/>
  </r>
  <r>
    <s v="TX500074"/>
    <x v="0"/>
    <n v="2"/>
    <n v="17.899999999999999"/>
    <n v="35.799999999999997"/>
    <x v="2"/>
    <x v="2"/>
    <x v="1"/>
    <x v="0"/>
    <x v="2"/>
    <x v="0"/>
    <x v="9"/>
    <n v="1"/>
    <n v="1"/>
    <x v="1"/>
  </r>
  <r>
    <s v="TX500075"/>
    <x v="9"/>
    <n v="2"/>
    <n v="48.4"/>
    <n v="96.8"/>
    <x v="2"/>
    <x v="0"/>
    <x v="0"/>
    <x v="1"/>
    <x v="0"/>
    <x v="0"/>
    <x v="9"/>
    <n v="3"/>
    <n v="1"/>
    <x v="0"/>
  </r>
  <r>
    <s v="TX500076"/>
    <x v="12"/>
    <n v="4"/>
    <n v="44.4"/>
    <n v="177.6"/>
    <x v="2"/>
    <x v="2"/>
    <x v="3"/>
    <x v="1"/>
    <x v="1"/>
    <x v="0"/>
    <x v="11"/>
    <n v="1"/>
    <n v="1"/>
    <x v="3"/>
  </r>
  <r>
    <s v="TX500077"/>
    <x v="2"/>
    <n v="8"/>
    <n v="103.7"/>
    <n v="829.6"/>
    <x v="2"/>
    <x v="2"/>
    <x v="1"/>
    <x v="0"/>
    <x v="1"/>
    <x v="0"/>
    <x v="19"/>
    <n v="1"/>
    <n v="1"/>
    <x v="1"/>
  </r>
  <r>
    <s v="TX500078"/>
    <x v="5"/>
    <n v="4"/>
    <n v="58.6"/>
    <n v="234.4"/>
    <x v="2"/>
    <x v="5"/>
    <x v="0"/>
    <x v="3"/>
    <x v="0"/>
    <x v="0"/>
    <x v="19"/>
    <n v="2"/>
    <n v="1"/>
    <x v="0"/>
  </r>
  <r>
    <s v="TX500079"/>
    <x v="9"/>
    <n v="4"/>
    <n v="54.8"/>
    <n v="219.2"/>
    <x v="2"/>
    <x v="4"/>
    <x v="1"/>
    <x v="2"/>
    <x v="1"/>
    <x v="0"/>
    <x v="13"/>
    <n v="4"/>
    <n v="1"/>
    <x v="1"/>
  </r>
  <r>
    <s v="TX500080"/>
    <x v="12"/>
    <n v="3"/>
    <n v="78.8"/>
    <n v="236.39999999999998"/>
    <x v="2"/>
    <x v="8"/>
    <x v="1"/>
    <x v="4"/>
    <x v="1"/>
    <x v="0"/>
    <x v="21"/>
    <n v="6"/>
    <n v="1"/>
    <x v="1"/>
  </r>
  <r>
    <s v="TX500081"/>
    <x v="18"/>
    <n v="5"/>
    <n v="36.799999999999997"/>
    <n v="184"/>
    <x v="2"/>
    <x v="0"/>
    <x v="0"/>
    <x v="4"/>
    <x v="1"/>
    <x v="0"/>
    <x v="22"/>
    <n v="3"/>
    <n v="1"/>
    <x v="0"/>
  </r>
  <r>
    <s v="TX500082"/>
    <x v="6"/>
    <n v="6"/>
    <n v="50.6"/>
    <n v="303.60000000000002"/>
    <x v="2"/>
    <x v="5"/>
    <x v="1"/>
    <x v="3"/>
    <x v="0"/>
    <x v="0"/>
    <x v="3"/>
    <n v="2"/>
    <n v="1"/>
    <x v="1"/>
  </r>
  <r>
    <s v="TX500083"/>
    <x v="15"/>
    <n v="3"/>
    <n v="36.799999999999997"/>
    <n v="110.39999999999999"/>
    <x v="2"/>
    <x v="1"/>
    <x v="0"/>
    <x v="2"/>
    <x v="1"/>
    <x v="0"/>
    <x v="3"/>
    <n v="0"/>
    <n v="1"/>
    <x v="0"/>
  </r>
  <r>
    <s v="TX500084"/>
    <x v="8"/>
    <n v="9"/>
    <n v="41.8"/>
    <n v="376.2"/>
    <x v="3"/>
    <x v="9"/>
    <x v="1"/>
    <x v="3"/>
    <x v="0"/>
    <x v="0"/>
    <x v="3"/>
    <n v="6"/>
    <n v="1"/>
    <x v="1"/>
  </r>
  <r>
    <s v="TX500085"/>
    <x v="18"/>
    <n v="1"/>
    <n v="77.3"/>
    <n v="77.3"/>
    <x v="3"/>
    <x v="5"/>
    <x v="0"/>
    <x v="4"/>
    <x v="4"/>
    <x v="0"/>
    <x v="3"/>
    <n v="1"/>
    <n v="1"/>
    <x v="0"/>
  </r>
  <r>
    <s v="TX500086"/>
    <x v="8"/>
    <n v="4"/>
    <n v="19.8"/>
    <n v="79.2"/>
    <x v="3"/>
    <x v="9"/>
    <x v="0"/>
    <x v="1"/>
    <x v="2"/>
    <x v="0"/>
    <x v="3"/>
    <n v="6"/>
    <n v="1"/>
    <x v="0"/>
  </r>
  <r>
    <s v="TX500087"/>
    <x v="13"/>
    <n v="4"/>
    <n v="15.5"/>
    <n v="62"/>
    <x v="3"/>
    <x v="5"/>
    <x v="1"/>
    <x v="1"/>
    <x v="2"/>
    <x v="0"/>
    <x v="3"/>
    <n v="1"/>
    <n v="1"/>
    <x v="1"/>
  </r>
  <r>
    <s v="TX500088"/>
    <x v="12"/>
    <n v="1"/>
    <n v="46.8"/>
    <n v="46.8"/>
    <x v="3"/>
    <x v="6"/>
    <x v="0"/>
    <x v="0"/>
    <x v="2"/>
    <x v="0"/>
    <x v="3"/>
    <n v="4"/>
    <n v="1"/>
    <x v="0"/>
  </r>
  <r>
    <s v="TX500089"/>
    <x v="9"/>
    <n v="9"/>
    <n v="28.6"/>
    <n v="257.40000000000003"/>
    <x v="3"/>
    <x v="6"/>
    <x v="0"/>
    <x v="0"/>
    <x v="2"/>
    <x v="0"/>
    <x v="3"/>
    <n v="4"/>
    <n v="1"/>
    <x v="0"/>
  </r>
  <r>
    <s v="TX500090"/>
    <x v="2"/>
    <n v="1"/>
    <n v="97.7"/>
    <n v="97.7"/>
    <x v="3"/>
    <x v="4"/>
    <x v="1"/>
    <x v="1"/>
    <x v="0"/>
    <x v="0"/>
    <x v="3"/>
    <n v="3"/>
    <n v="1"/>
    <x v="1"/>
  </r>
  <r>
    <s v="TX500091"/>
    <x v="9"/>
    <n v="5"/>
    <n v="54.7"/>
    <n v="273.5"/>
    <x v="3"/>
    <x v="4"/>
    <x v="2"/>
    <x v="0"/>
    <x v="2"/>
    <x v="0"/>
    <x v="23"/>
    <n v="3"/>
    <n v="1"/>
    <x v="2"/>
  </r>
  <r>
    <s v="TX500092"/>
    <x v="2"/>
    <n v="6"/>
    <n v="130.5"/>
    <n v="783"/>
    <x v="3"/>
    <x v="0"/>
    <x v="1"/>
    <x v="0"/>
    <x v="1"/>
    <x v="0"/>
    <x v="23"/>
    <n v="2"/>
    <n v="1"/>
    <x v="1"/>
  </r>
  <r>
    <s v="TX500093"/>
    <x v="11"/>
    <n v="2"/>
    <n v="50.4"/>
    <n v="100.8"/>
    <x v="3"/>
    <x v="0"/>
    <x v="0"/>
    <x v="2"/>
    <x v="2"/>
    <x v="0"/>
    <x v="6"/>
    <n v="2"/>
    <n v="1"/>
    <x v="0"/>
  </r>
  <r>
    <s v="TX500094"/>
    <x v="6"/>
    <n v="13"/>
    <n v="61.5"/>
    <n v="799.5"/>
    <x v="3"/>
    <x v="5"/>
    <x v="2"/>
    <x v="3"/>
    <x v="1"/>
    <x v="0"/>
    <x v="11"/>
    <n v="1"/>
    <n v="1"/>
    <x v="2"/>
  </r>
  <r>
    <s v="TX500095"/>
    <x v="9"/>
    <n v="4"/>
    <n v="30.1"/>
    <n v="120.4"/>
    <x v="3"/>
    <x v="5"/>
    <x v="1"/>
    <x v="0"/>
    <x v="2"/>
    <x v="0"/>
    <x v="21"/>
    <n v="1"/>
    <n v="1"/>
    <x v="1"/>
  </r>
  <r>
    <s v="TX500096"/>
    <x v="2"/>
    <n v="5"/>
    <n v="74.8"/>
    <n v="374"/>
    <x v="3"/>
    <x v="5"/>
    <x v="1"/>
    <x v="1"/>
    <x v="0"/>
    <x v="0"/>
    <x v="1"/>
    <n v="1"/>
    <n v="1"/>
    <x v="1"/>
  </r>
  <r>
    <s v="TX500097"/>
    <x v="16"/>
    <n v="3"/>
    <n v="64.900000000000006"/>
    <n v="194.70000000000002"/>
    <x v="3"/>
    <x v="7"/>
    <x v="0"/>
    <x v="0"/>
    <x v="0"/>
    <x v="0"/>
    <x v="2"/>
    <n v="7"/>
    <n v="1"/>
    <x v="0"/>
  </r>
  <r>
    <s v="TX500098"/>
    <x v="9"/>
    <n v="2"/>
    <n v="50.5"/>
    <n v="101"/>
    <x v="3"/>
    <x v="0"/>
    <x v="0"/>
    <x v="1"/>
    <x v="0"/>
    <x v="0"/>
    <x v="22"/>
    <n v="2"/>
    <n v="1"/>
    <x v="0"/>
  </r>
  <r>
    <s v="TX500099"/>
    <x v="11"/>
    <n v="7"/>
    <n v="63"/>
    <n v="441"/>
    <x v="3"/>
    <x v="4"/>
    <x v="0"/>
    <x v="3"/>
    <x v="2"/>
    <x v="0"/>
    <x v="3"/>
    <n v="3"/>
    <n v="1"/>
    <x v="0"/>
  </r>
  <r>
    <s v="TX500100"/>
    <x v="2"/>
    <n v="3"/>
    <n v="93.6"/>
    <n v="280.79999999999995"/>
    <x v="3"/>
    <x v="10"/>
    <x v="1"/>
    <x v="0"/>
    <x v="2"/>
    <x v="0"/>
    <x v="3"/>
    <n v="13"/>
    <n v="1"/>
    <x v="1"/>
  </r>
  <r>
    <s v="TX500101"/>
    <x v="5"/>
    <n v="30"/>
    <n v="41.4"/>
    <n v="1242"/>
    <x v="3"/>
    <x v="6"/>
    <x v="0"/>
    <x v="2"/>
    <x v="2"/>
    <x v="0"/>
    <x v="3"/>
    <n v="4"/>
    <n v="1"/>
    <x v="0"/>
  </r>
  <r>
    <s v="TX500102"/>
    <x v="2"/>
    <n v="2"/>
    <n v="160"/>
    <n v="320"/>
    <x v="4"/>
    <x v="0"/>
    <x v="0"/>
    <x v="2"/>
    <x v="2"/>
    <x v="0"/>
    <x v="5"/>
    <n v="1"/>
    <n v="2"/>
    <x v="0"/>
  </r>
  <r>
    <s v="TX500103"/>
    <x v="19"/>
    <n v="11"/>
    <n v="10.5"/>
    <n v="115.5"/>
    <x v="4"/>
    <x v="6"/>
    <x v="1"/>
    <x v="4"/>
    <x v="0"/>
    <x v="0"/>
    <x v="8"/>
    <n v="3"/>
    <n v="2"/>
    <x v="1"/>
  </r>
  <r>
    <s v="TX500104"/>
    <x v="10"/>
    <n v="2"/>
    <n v="53"/>
    <n v="106"/>
    <x v="4"/>
    <x v="5"/>
    <x v="0"/>
    <x v="2"/>
    <x v="4"/>
    <x v="0"/>
    <x v="17"/>
    <n v="0"/>
    <n v="2"/>
    <x v="0"/>
  </r>
  <r>
    <s v="TX500105"/>
    <x v="8"/>
    <n v="3"/>
    <n v="18.5"/>
    <n v="55.5"/>
    <x v="4"/>
    <x v="9"/>
    <x v="1"/>
    <x v="1"/>
    <x v="2"/>
    <x v="0"/>
    <x v="11"/>
    <n v="5"/>
    <n v="2"/>
    <x v="1"/>
  </r>
  <r>
    <s v="TX500106"/>
    <x v="16"/>
    <n v="3"/>
    <n v="84.5"/>
    <n v="253.5"/>
    <x v="4"/>
    <x v="4"/>
    <x v="1"/>
    <x v="4"/>
    <x v="1"/>
    <x v="0"/>
    <x v="13"/>
    <n v="2"/>
    <n v="2"/>
    <x v="1"/>
  </r>
  <r>
    <s v="TX500107"/>
    <x v="15"/>
    <n v="7"/>
    <n v="31.2"/>
    <n v="218.4"/>
    <x v="4"/>
    <x v="5"/>
    <x v="1"/>
    <x v="2"/>
    <x v="2"/>
    <x v="0"/>
    <x v="3"/>
    <n v="0"/>
    <n v="2"/>
    <x v="1"/>
  </r>
  <r>
    <s v="TX500108"/>
    <x v="8"/>
    <n v="18"/>
    <n v="32.6"/>
    <n v="586.80000000000007"/>
    <x v="4"/>
    <x v="0"/>
    <x v="0"/>
    <x v="1"/>
    <x v="1"/>
    <x v="0"/>
    <x v="3"/>
    <n v="1"/>
    <n v="2"/>
    <x v="0"/>
  </r>
  <r>
    <s v="TX500109"/>
    <x v="10"/>
    <n v="4"/>
    <n v="45.4"/>
    <n v="181.6"/>
    <x v="4"/>
    <x v="4"/>
    <x v="0"/>
    <x v="1"/>
    <x v="0"/>
    <x v="0"/>
    <x v="3"/>
    <n v="2"/>
    <n v="2"/>
    <x v="0"/>
  </r>
  <r>
    <s v="TX500110"/>
    <x v="2"/>
    <n v="12"/>
    <n v="120"/>
    <n v="1440"/>
    <x v="4"/>
    <x v="0"/>
    <x v="1"/>
    <x v="2"/>
    <x v="4"/>
    <x v="0"/>
    <x v="3"/>
    <n v="1"/>
    <n v="2"/>
    <x v="1"/>
  </r>
  <r>
    <s v="TX500111"/>
    <x v="0"/>
    <n v="4"/>
    <n v="18.899999999999999"/>
    <n v="75.599999999999994"/>
    <x v="4"/>
    <x v="4"/>
    <x v="0"/>
    <x v="0"/>
    <x v="2"/>
    <x v="0"/>
    <x v="3"/>
    <n v="2"/>
    <n v="2"/>
    <x v="0"/>
  </r>
  <r>
    <s v="TX500112"/>
    <x v="4"/>
    <n v="1"/>
    <n v="32"/>
    <n v="32"/>
    <x v="4"/>
    <x v="4"/>
    <x v="1"/>
    <x v="4"/>
    <x v="0"/>
    <x v="0"/>
    <x v="3"/>
    <n v="2"/>
    <n v="2"/>
    <x v="1"/>
  </r>
  <r>
    <s v="TX500113"/>
    <x v="7"/>
    <n v="2"/>
    <n v="37.299999999999997"/>
    <n v="74.599999999999994"/>
    <x v="4"/>
    <x v="0"/>
    <x v="0"/>
    <x v="2"/>
    <x v="0"/>
    <x v="0"/>
    <x v="3"/>
    <n v="1"/>
    <n v="2"/>
    <x v="0"/>
  </r>
  <r>
    <s v="TX500114"/>
    <x v="18"/>
    <n v="1"/>
    <n v="119.8"/>
    <n v="119.8"/>
    <x v="4"/>
    <x v="0"/>
    <x v="0"/>
    <x v="1"/>
    <x v="1"/>
    <x v="0"/>
    <x v="3"/>
    <n v="1"/>
    <n v="2"/>
    <x v="0"/>
  </r>
  <r>
    <s v="TX500115"/>
    <x v="10"/>
    <n v="2"/>
    <n v="26.4"/>
    <n v="52.8"/>
    <x v="4"/>
    <x v="6"/>
    <x v="0"/>
    <x v="2"/>
    <x v="0"/>
    <x v="0"/>
    <x v="3"/>
    <n v="3"/>
    <n v="2"/>
    <x v="0"/>
  </r>
  <r>
    <s v="TX500116"/>
    <x v="6"/>
    <n v="6"/>
    <n v="76.5"/>
    <n v="459"/>
    <x v="4"/>
    <x v="0"/>
    <x v="1"/>
    <x v="1"/>
    <x v="1"/>
    <x v="0"/>
    <x v="3"/>
    <n v="1"/>
    <n v="2"/>
    <x v="1"/>
  </r>
  <r>
    <s v="TX500117"/>
    <x v="4"/>
    <n v="10"/>
    <n v="45.7"/>
    <n v="457"/>
    <x v="4"/>
    <x v="0"/>
    <x v="1"/>
    <x v="2"/>
    <x v="0"/>
    <x v="0"/>
    <x v="24"/>
    <n v="1"/>
    <n v="2"/>
    <x v="1"/>
  </r>
  <r>
    <s v="TX500118"/>
    <x v="1"/>
    <n v="12"/>
    <n v="92.6"/>
    <n v="1111.1999999999998"/>
    <x v="4"/>
    <x v="4"/>
    <x v="1"/>
    <x v="2"/>
    <x v="0"/>
    <x v="0"/>
    <x v="25"/>
    <n v="2"/>
    <n v="2"/>
    <x v="1"/>
  </r>
  <r>
    <s v="TX500119"/>
    <x v="6"/>
    <n v="6"/>
    <n v="60.1"/>
    <n v="360.6"/>
    <x v="4"/>
    <x v="0"/>
    <x v="0"/>
    <x v="1"/>
    <x v="0"/>
    <x v="0"/>
    <x v="23"/>
    <n v="1"/>
    <n v="2"/>
    <x v="0"/>
  </r>
  <r>
    <s v="TX500120"/>
    <x v="1"/>
    <n v="3"/>
    <n v="73"/>
    <n v="219"/>
    <x v="4"/>
    <x v="0"/>
    <x v="1"/>
    <x v="3"/>
    <x v="1"/>
    <x v="0"/>
    <x v="6"/>
    <n v="1"/>
    <n v="2"/>
    <x v="1"/>
  </r>
  <r>
    <s v="TX500121"/>
    <x v="6"/>
    <n v="3"/>
    <n v="44.3"/>
    <n v="132.89999999999998"/>
    <x v="4"/>
    <x v="8"/>
    <x v="2"/>
    <x v="2"/>
    <x v="2"/>
    <x v="0"/>
    <x v="6"/>
    <n v="4"/>
    <n v="2"/>
    <x v="2"/>
  </r>
  <r>
    <s v="TX500122"/>
    <x v="6"/>
    <n v="3"/>
    <n v="63.3"/>
    <n v="189.89999999999998"/>
    <x v="4"/>
    <x v="0"/>
    <x v="0"/>
    <x v="2"/>
    <x v="0"/>
    <x v="0"/>
    <x v="6"/>
    <n v="1"/>
    <n v="2"/>
    <x v="0"/>
  </r>
  <r>
    <s v="TX500123"/>
    <x v="12"/>
    <n v="1"/>
    <n v="66.8"/>
    <n v="66.8"/>
    <x v="4"/>
    <x v="0"/>
    <x v="1"/>
    <x v="1"/>
    <x v="0"/>
    <x v="0"/>
    <x v="6"/>
    <n v="1"/>
    <n v="2"/>
    <x v="1"/>
  </r>
  <r>
    <s v="TX500124"/>
    <x v="2"/>
    <n v="2"/>
    <n v="59.7"/>
    <n v="119.4"/>
    <x v="4"/>
    <x v="0"/>
    <x v="1"/>
    <x v="0"/>
    <x v="0"/>
    <x v="0"/>
    <x v="7"/>
    <n v="1"/>
    <n v="2"/>
    <x v="1"/>
  </r>
  <r>
    <s v="TX500125"/>
    <x v="1"/>
    <n v="6"/>
    <n v="92"/>
    <n v="552"/>
    <x v="4"/>
    <x v="4"/>
    <x v="0"/>
    <x v="0"/>
    <x v="4"/>
    <x v="0"/>
    <x v="7"/>
    <n v="2"/>
    <n v="2"/>
    <x v="0"/>
  </r>
  <r>
    <s v="TX500126"/>
    <x v="7"/>
    <n v="2"/>
    <n v="87.6"/>
    <n v="175.2"/>
    <x v="4"/>
    <x v="4"/>
    <x v="0"/>
    <x v="1"/>
    <x v="1"/>
    <x v="0"/>
    <x v="8"/>
    <n v="2"/>
    <n v="2"/>
    <x v="0"/>
  </r>
  <r>
    <s v="TX500127"/>
    <x v="6"/>
    <n v="3"/>
    <n v="84.5"/>
    <n v="253.5"/>
    <x v="4"/>
    <x v="0"/>
    <x v="1"/>
    <x v="1"/>
    <x v="1"/>
    <x v="0"/>
    <x v="8"/>
    <n v="1"/>
    <n v="2"/>
    <x v="1"/>
  </r>
  <r>
    <s v="TX500128"/>
    <x v="1"/>
    <n v="2"/>
    <n v="116.3"/>
    <n v="232.6"/>
    <x v="5"/>
    <x v="6"/>
    <x v="0"/>
    <x v="2"/>
    <x v="2"/>
    <x v="0"/>
    <x v="8"/>
    <n v="2"/>
    <n v="2"/>
    <x v="0"/>
  </r>
  <r>
    <s v="TX500129"/>
    <x v="6"/>
    <n v="5"/>
    <n v="52.7"/>
    <n v="263.5"/>
    <x v="5"/>
    <x v="9"/>
    <x v="0"/>
    <x v="0"/>
    <x v="0"/>
    <x v="0"/>
    <x v="8"/>
    <n v="4"/>
    <n v="2"/>
    <x v="0"/>
  </r>
  <r>
    <s v="TX500130"/>
    <x v="16"/>
    <n v="3"/>
    <n v="34.200000000000003"/>
    <n v="102.60000000000001"/>
    <x v="5"/>
    <x v="4"/>
    <x v="0"/>
    <x v="0"/>
    <x v="2"/>
    <x v="0"/>
    <x v="26"/>
    <n v="1"/>
    <n v="2"/>
    <x v="0"/>
  </r>
  <r>
    <s v="TX500131"/>
    <x v="9"/>
    <n v="1"/>
    <n v="23.3"/>
    <n v="23.3"/>
    <x v="5"/>
    <x v="11"/>
    <x v="3"/>
    <x v="2"/>
    <x v="2"/>
    <x v="0"/>
    <x v="9"/>
    <n v="9"/>
    <n v="2"/>
    <x v="3"/>
  </r>
  <r>
    <s v="TX500132"/>
    <x v="0"/>
    <n v="26"/>
    <n v="25.9"/>
    <n v="673.4"/>
    <x v="5"/>
    <x v="8"/>
    <x v="1"/>
    <x v="4"/>
    <x v="1"/>
    <x v="0"/>
    <x v="9"/>
    <n v="3"/>
    <n v="2"/>
    <x v="1"/>
  </r>
  <r>
    <s v="TX500133"/>
    <x v="6"/>
    <n v="29"/>
    <n v="54.9"/>
    <n v="1592.1"/>
    <x v="5"/>
    <x v="4"/>
    <x v="0"/>
    <x v="1"/>
    <x v="2"/>
    <x v="0"/>
    <x v="9"/>
    <n v="1"/>
    <n v="2"/>
    <x v="0"/>
  </r>
  <r>
    <s v="TX500134"/>
    <x v="5"/>
    <n v="3"/>
    <n v="75.8"/>
    <n v="227.39999999999998"/>
    <x v="5"/>
    <x v="7"/>
    <x v="3"/>
    <x v="1"/>
    <x v="0"/>
    <x v="0"/>
    <x v="18"/>
    <n v="5"/>
    <n v="2"/>
    <x v="3"/>
  </r>
  <r>
    <s v="TX500135"/>
    <x v="1"/>
    <n v="9"/>
    <n v="44.9"/>
    <n v="404.09999999999997"/>
    <x v="5"/>
    <x v="8"/>
    <x v="1"/>
    <x v="2"/>
    <x v="2"/>
    <x v="0"/>
    <x v="2"/>
    <n v="3"/>
    <n v="2"/>
    <x v="1"/>
  </r>
  <r>
    <s v="TX500136"/>
    <x v="11"/>
    <n v="2"/>
    <n v="48.8"/>
    <n v="97.6"/>
    <x v="5"/>
    <x v="6"/>
    <x v="1"/>
    <x v="3"/>
    <x v="0"/>
    <x v="0"/>
    <x v="27"/>
    <n v="2"/>
    <n v="2"/>
    <x v="1"/>
  </r>
  <r>
    <s v="TX500137"/>
    <x v="15"/>
    <n v="1"/>
    <n v="20.3"/>
    <n v="20.3"/>
    <x v="5"/>
    <x v="4"/>
    <x v="1"/>
    <x v="0"/>
    <x v="2"/>
    <x v="0"/>
    <x v="22"/>
    <n v="1"/>
    <n v="2"/>
    <x v="1"/>
  </r>
  <r>
    <s v="TX500138"/>
    <x v="5"/>
    <n v="7"/>
    <n v="36.4"/>
    <n v="254.79999999999998"/>
    <x v="5"/>
    <x v="8"/>
    <x v="1"/>
    <x v="0"/>
    <x v="1"/>
    <x v="0"/>
    <x v="3"/>
    <n v="3"/>
    <n v="2"/>
    <x v="1"/>
  </r>
  <r>
    <s v="TX500139"/>
    <x v="0"/>
    <n v="1"/>
    <n v="19"/>
    <n v="19"/>
    <x v="5"/>
    <x v="7"/>
    <x v="1"/>
    <x v="1"/>
    <x v="2"/>
    <x v="0"/>
    <x v="3"/>
    <n v="5"/>
    <n v="2"/>
    <x v="1"/>
  </r>
  <r>
    <s v="TX500140"/>
    <x v="8"/>
    <n v="1"/>
    <n v="17.8"/>
    <n v="17.8"/>
    <x v="5"/>
    <x v="0"/>
    <x v="0"/>
    <x v="0"/>
    <x v="0"/>
    <x v="0"/>
    <x v="3"/>
    <n v="0"/>
    <n v="2"/>
    <x v="0"/>
  </r>
  <r>
    <s v="TX500141"/>
    <x v="2"/>
    <n v="6"/>
    <n v="139.6"/>
    <n v="837.59999999999991"/>
    <x v="5"/>
    <x v="8"/>
    <x v="0"/>
    <x v="0"/>
    <x v="0"/>
    <x v="0"/>
    <x v="3"/>
    <n v="3"/>
    <n v="2"/>
    <x v="0"/>
  </r>
  <r>
    <s v="TX500142"/>
    <x v="9"/>
    <n v="1"/>
    <n v="31.7"/>
    <n v="31.7"/>
    <x v="5"/>
    <x v="0"/>
    <x v="2"/>
    <x v="0"/>
    <x v="0"/>
    <x v="0"/>
    <x v="3"/>
    <n v="0"/>
    <n v="2"/>
    <x v="2"/>
  </r>
  <r>
    <s v="TX500143"/>
    <x v="8"/>
    <n v="8"/>
    <n v="26.3"/>
    <n v="210.4"/>
    <x v="5"/>
    <x v="8"/>
    <x v="1"/>
    <x v="4"/>
    <x v="4"/>
    <x v="0"/>
    <x v="3"/>
    <n v="3"/>
    <n v="2"/>
    <x v="1"/>
  </r>
  <r>
    <s v="TX500144"/>
    <x v="4"/>
    <n v="2"/>
    <n v="47.8"/>
    <n v="95.6"/>
    <x v="5"/>
    <x v="4"/>
    <x v="2"/>
    <x v="0"/>
    <x v="0"/>
    <x v="0"/>
    <x v="3"/>
    <n v="1"/>
    <n v="2"/>
    <x v="2"/>
  </r>
  <r>
    <s v="TX500145"/>
    <x v="9"/>
    <n v="3"/>
    <n v="69.400000000000006"/>
    <n v="208.20000000000002"/>
    <x v="5"/>
    <x v="9"/>
    <x v="1"/>
    <x v="0"/>
    <x v="0"/>
    <x v="0"/>
    <x v="3"/>
    <n v="4"/>
    <n v="2"/>
    <x v="1"/>
  </r>
  <r>
    <s v="TX500146"/>
    <x v="18"/>
    <n v="12"/>
    <n v="25.8"/>
    <n v="309.60000000000002"/>
    <x v="5"/>
    <x v="4"/>
    <x v="0"/>
    <x v="4"/>
    <x v="4"/>
    <x v="0"/>
    <x v="3"/>
    <n v="1"/>
    <n v="2"/>
    <x v="0"/>
  </r>
  <r>
    <s v="TX500147"/>
    <x v="0"/>
    <n v="4"/>
    <n v="26.4"/>
    <n v="105.6"/>
    <x v="5"/>
    <x v="4"/>
    <x v="0"/>
    <x v="1"/>
    <x v="2"/>
    <x v="0"/>
    <x v="3"/>
    <n v="1"/>
    <n v="2"/>
    <x v="0"/>
  </r>
  <r>
    <s v="TX500148"/>
    <x v="8"/>
    <n v="4"/>
    <n v="15.7"/>
    <n v="62.8"/>
    <x v="5"/>
    <x v="4"/>
    <x v="0"/>
    <x v="2"/>
    <x v="0"/>
    <x v="0"/>
    <x v="3"/>
    <n v="1"/>
    <n v="2"/>
    <x v="0"/>
  </r>
  <r>
    <s v="TX500149"/>
    <x v="8"/>
    <n v="1"/>
    <n v="39.700000000000003"/>
    <n v="39.700000000000003"/>
    <x v="5"/>
    <x v="9"/>
    <x v="0"/>
    <x v="0"/>
    <x v="0"/>
    <x v="0"/>
    <x v="3"/>
    <n v="4"/>
    <n v="2"/>
    <x v="0"/>
  </r>
  <r>
    <s v="TX500150"/>
    <x v="10"/>
    <n v="4"/>
    <n v="31.1"/>
    <n v="124.4"/>
    <x v="5"/>
    <x v="6"/>
    <x v="1"/>
    <x v="2"/>
    <x v="1"/>
    <x v="0"/>
    <x v="3"/>
    <n v="2"/>
    <n v="2"/>
    <x v="1"/>
  </r>
  <r>
    <s v="TX500151"/>
    <x v="13"/>
    <n v="15"/>
    <n v="23.4"/>
    <n v="351"/>
    <x v="5"/>
    <x v="11"/>
    <x v="0"/>
    <x v="0"/>
    <x v="0"/>
    <x v="0"/>
    <x v="3"/>
    <n v="9"/>
    <n v="2"/>
    <x v="0"/>
  </r>
  <r>
    <s v="TX500152"/>
    <x v="1"/>
    <n v="4"/>
    <n v="57.1"/>
    <n v="228.4"/>
    <x v="6"/>
    <x v="6"/>
    <x v="0"/>
    <x v="2"/>
    <x v="0"/>
    <x v="0"/>
    <x v="25"/>
    <n v="1"/>
    <n v="2"/>
    <x v="0"/>
  </r>
  <r>
    <s v="TX500153"/>
    <x v="2"/>
    <n v="5"/>
    <n v="89.9"/>
    <n v="449.5"/>
    <x v="6"/>
    <x v="4"/>
    <x v="1"/>
    <x v="0"/>
    <x v="3"/>
    <x v="0"/>
    <x v="23"/>
    <n v="0"/>
    <n v="2"/>
    <x v="1"/>
  </r>
  <r>
    <s v="TX500154"/>
    <x v="10"/>
    <n v="7"/>
    <n v="48.1"/>
    <n v="336.7"/>
    <x v="6"/>
    <x v="8"/>
    <x v="1"/>
    <x v="1"/>
    <x v="2"/>
    <x v="0"/>
    <x v="6"/>
    <n v="2"/>
    <n v="2"/>
    <x v="1"/>
  </r>
  <r>
    <s v="TX500155"/>
    <x v="8"/>
    <n v="2"/>
    <n v="29.3"/>
    <n v="58.6"/>
    <x v="6"/>
    <x v="4"/>
    <x v="1"/>
    <x v="1"/>
    <x v="1"/>
    <x v="0"/>
    <x v="6"/>
    <n v="0"/>
    <n v="2"/>
    <x v="1"/>
  </r>
  <r>
    <s v="TX500156"/>
    <x v="8"/>
    <n v="4"/>
    <n v="28.8"/>
    <n v="115.2"/>
    <x v="6"/>
    <x v="6"/>
    <x v="1"/>
    <x v="0"/>
    <x v="4"/>
    <x v="0"/>
    <x v="6"/>
    <n v="1"/>
    <n v="2"/>
    <x v="1"/>
  </r>
  <r>
    <s v="TX500157"/>
    <x v="10"/>
    <n v="5"/>
    <n v="40.5"/>
    <n v="202.5"/>
    <x v="6"/>
    <x v="7"/>
    <x v="1"/>
    <x v="3"/>
    <x v="0"/>
    <x v="0"/>
    <x v="6"/>
    <n v="4"/>
    <n v="2"/>
    <x v="1"/>
  </r>
  <r>
    <s v="TX500158"/>
    <x v="18"/>
    <n v="14"/>
    <n v="65.099999999999994"/>
    <n v="911.39999999999986"/>
    <x v="6"/>
    <x v="6"/>
    <x v="1"/>
    <x v="4"/>
    <x v="0"/>
    <x v="0"/>
    <x v="7"/>
    <n v="1"/>
    <n v="2"/>
    <x v="1"/>
  </r>
  <r>
    <s v="TX500159"/>
    <x v="8"/>
    <n v="4"/>
    <n v="40.299999999999997"/>
    <n v="161.19999999999999"/>
    <x v="6"/>
    <x v="12"/>
    <x v="1"/>
    <x v="2"/>
    <x v="0"/>
    <x v="0"/>
    <x v="7"/>
    <n v="5"/>
    <n v="2"/>
    <x v="1"/>
  </r>
  <r>
    <s v="TX500160"/>
    <x v="6"/>
    <n v="5"/>
    <n v="51.8"/>
    <n v="259"/>
    <x v="6"/>
    <x v="6"/>
    <x v="0"/>
    <x v="2"/>
    <x v="2"/>
    <x v="0"/>
    <x v="8"/>
    <n v="1"/>
    <n v="2"/>
    <x v="0"/>
  </r>
  <r>
    <s v="TX500161"/>
    <x v="6"/>
    <n v="3"/>
    <n v="61.3"/>
    <n v="183.89999999999998"/>
    <x v="6"/>
    <x v="6"/>
    <x v="1"/>
    <x v="3"/>
    <x v="0"/>
    <x v="0"/>
    <x v="8"/>
    <n v="1"/>
    <n v="2"/>
    <x v="1"/>
  </r>
  <r>
    <s v="TX500162"/>
    <x v="2"/>
    <n v="4"/>
    <n v="122.5"/>
    <n v="490"/>
    <x v="6"/>
    <x v="6"/>
    <x v="0"/>
    <x v="0"/>
    <x v="0"/>
    <x v="0"/>
    <x v="8"/>
    <n v="1"/>
    <n v="2"/>
    <x v="0"/>
  </r>
  <r>
    <s v="TX500163"/>
    <x v="0"/>
    <n v="9"/>
    <n v="12.5"/>
    <n v="112.5"/>
    <x v="6"/>
    <x v="6"/>
    <x v="2"/>
    <x v="1"/>
    <x v="2"/>
    <x v="0"/>
    <x v="8"/>
    <n v="1"/>
    <n v="2"/>
    <x v="2"/>
  </r>
  <r>
    <s v="TX500164"/>
    <x v="15"/>
    <n v="8"/>
    <n v="37.5"/>
    <n v="300"/>
    <x v="6"/>
    <x v="6"/>
    <x v="1"/>
    <x v="0"/>
    <x v="0"/>
    <x v="0"/>
    <x v="9"/>
    <n v="1"/>
    <n v="2"/>
    <x v="1"/>
  </r>
  <r>
    <s v="TX500165"/>
    <x v="6"/>
    <n v="3"/>
    <n v="40"/>
    <n v="120"/>
    <x v="6"/>
    <x v="9"/>
    <x v="0"/>
    <x v="0"/>
    <x v="4"/>
    <x v="0"/>
    <x v="11"/>
    <n v="3"/>
    <n v="2"/>
    <x v="0"/>
  </r>
  <r>
    <s v="TX500166"/>
    <x v="17"/>
    <n v="8"/>
    <n v="38.5"/>
    <n v="308"/>
    <x v="6"/>
    <x v="12"/>
    <x v="1"/>
    <x v="2"/>
    <x v="1"/>
    <x v="0"/>
    <x v="11"/>
    <n v="5"/>
    <n v="2"/>
    <x v="1"/>
  </r>
  <r>
    <s v="TX500167"/>
    <x v="2"/>
    <n v="2"/>
    <n v="86.4"/>
    <n v="172.8"/>
    <x v="6"/>
    <x v="8"/>
    <x v="1"/>
    <x v="0"/>
    <x v="0"/>
    <x v="0"/>
    <x v="18"/>
    <n v="2"/>
    <n v="2"/>
    <x v="1"/>
  </r>
  <r>
    <s v="TX500168"/>
    <x v="10"/>
    <n v="1"/>
    <n v="50.7"/>
    <n v="50.7"/>
    <x v="6"/>
    <x v="7"/>
    <x v="1"/>
    <x v="1"/>
    <x v="0"/>
    <x v="0"/>
    <x v="18"/>
    <n v="4"/>
    <n v="2"/>
    <x v="1"/>
  </r>
  <r>
    <s v="TX500169"/>
    <x v="10"/>
    <n v="2"/>
    <n v="61"/>
    <n v="122"/>
    <x v="6"/>
    <x v="13"/>
    <x v="1"/>
    <x v="4"/>
    <x v="1"/>
    <x v="0"/>
    <x v="18"/>
    <n v="11"/>
    <n v="2"/>
    <x v="1"/>
  </r>
  <r>
    <s v="TX500170"/>
    <x v="4"/>
    <n v="2"/>
    <n v="19.899999999999999"/>
    <n v="39.799999999999997"/>
    <x v="6"/>
    <x v="9"/>
    <x v="1"/>
    <x v="1"/>
    <x v="0"/>
    <x v="0"/>
    <x v="28"/>
    <n v="3"/>
    <n v="2"/>
    <x v="1"/>
  </r>
  <r>
    <s v="TX500171"/>
    <x v="5"/>
    <n v="1"/>
    <n v="78.3"/>
    <n v="78.3"/>
    <x v="6"/>
    <x v="4"/>
    <x v="1"/>
    <x v="0"/>
    <x v="2"/>
    <x v="0"/>
    <x v="1"/>
    <n v="0"/>
    <n v="2"/>
    <x v="1"/>
  </r>
  <r>
    <s v="TX500172"/>
    <x v="0"/>
    <n v="19"/>
    <n v="10.4"/>
    <n v="197.6"/>
    <x v="6"/>
    <x v="8"/>
    <x v="0"/>
    <x v="0"/>
    <x v="2"/>
    <x v="0"/>
    <x v="2"/>
    <n v="2"/>
    <n v="2"/>
    <x v="0"/>
  </r>
  <r>
    <s v="TX500173"/>
    <x v="10"/>
    <n v="1"/>
    <n v="36.1"/>
    <n v="36.1"/>
    <x v="6"/>
    <x v="9"/>
    <x v="0"/>
    <x v="3"/>
    <x v="2"/>
    <x v="0"/>
    <x v="3"/>
    <n v="3"/>
    <n v="2"/>
    <x v="0"/>
  </r>
  <r>
    <s v="TX500174"/>
    <x v="14"/>
    <n v="2"/>
    <n v="17.3"/>
    <n v="34.6"/>
    <x v="6"/>
    <x v="8"/>
    <x v="1"/>
    <x v="1"/>
    <x v="2"/>
    <x v="0"/>
    <x v="3"/>
    <n v="2"/>
    <n v="2"/>
    <x v="1"/>
  </r>
  <r>
    <s v="TX500175"/>
    <x v="10"/>
    <n v="2"/>
    <n v="30.5"/>
    <n v="61"/>
    <x v="6"/>
    <x v="6"/>
    <x v="1"/>
    <x v="1"/>
    <x v="2"/>
    <x v="0"/>
    <x v="3"/>
    <n v="1"/>
    <n v="2"/>
    <x v="1"/>
  </r>
  <r>
    <s v="TX500176"/>
    <x v="18"/>
    <n v="62"/>
    <n v="70.099999999999994"/>
    <n v="4346.2"/>
    <x v="6"/>
    <x v="4"/>
    <x v="1"/>
    <x v="2"/>
    <x v="0"/>
    <x v="0"/>
    <x v="3"/>
    <n v="0"/>
    <n v="2"/>
    <x v="1"/>
  </r>
  <r>
    <s v="TX500177"/>
    <x v="3"/>
    <n v="1"/>
    <n v="76.099999999999994"/>
    <n v="76.099999999999994"/>
    <x v="6"/>
    <x v="4"/>
    <x v="1"/>
    <x v="2"/>
    <x v="1"/>
    <x v="0"/>
    <x v="3"/>
    <n v="0"/>
    <n v="2"/>
    <x v="1"/>
  </r>
  <r>
    <s v="TX500178"/>
    <x v="15"/>
    <n v="13"/>
    <n v="34.200000000000003"/>
    <n v="444.6"/>
    <x v="6"/>
    <x v="6"/>
    <x v="0"/>
    <x v="0"/>
    <x v="0"/>
    <x v="0"/>
    <x v="3"/>
    <n v="1"/>
    <n v="2"/>
    <x v="0"/>
  </r>
  <r>
    <s v="TX500179"/>
    <x v="8"/>
    <n v="5"/>
    <n v="30.3"/>
    <n v="151.5"/>
    <x v="6"/>
    <x v="12"/>
    <x v="1"/>
    <x v="4"/>
    <x v="0"/>
    <x v="0"/>
    <x v="3"/>
    <n v="5"/>
    <n v="2"/>
    <x v="1"/>
  </r>
  <r>
    <s v="TX500180"/>
    <x v="6"/>
    <n v="5"/>
    <n v="52.5"/>
    <n v="262.5"/>
    <x v="6"/>
    <x v="7"/>
    <x v="2"/>
    <x v="3"/>
    <x v="0"/>
    <x v="0"/>
    <x v="3"/>
    <n v="4"/>
    <n v="2"/>
    <x v="2"/>
  </r>
  <r>
    <s v="TX500181"/>
    <x v="9"/>
    <n v="11"/>
    <n v="28.7"/>
    <n v="315.7"/>
    <x v="6"/>
    <x v="6"/>
    <x v="1"/>
    <x v="2"/>
    <x v="0"/>
    <x v="0"/>
    <x v="3"/>
    <n v="1"/>
    <n v="2"/>
    <x v="1"/>
  </r>
  <r>
    <s v="TX500182"/>
    <x v="7"/>
    <n v="7"/>
    <n v="52"/>
    <n v="364"/>
    <x v="6"/>
    <x v="6"/>
    <x v="0"/>
    <x v="1"/>
    <x v="4"/>
    <x v="0"/>
    <x v="3"/>
    <n v="1"/>
    <n v="2"/>
    <x v="0"/>
  </r>
  <r>
    <s v="TX500183"/>
    <x v="0"/>
    <n v="1"/>
    <n v="13.3"/>
    <n v="13.3"/>
    <x v="7"/>
    <x v="12"/>
    <x v="1"/>
    <x v="2"/>
    <x v="1"/>
    <x v="0"/>
    <x v="3"/>
    <n v="4"/>
    <n v="2"/>
    <x v="1"/>
  </r>
  <r>
    <s v="TX500184"/>
    <x v="0"/>
    <n v="3"/>
    <n v="15.7"/>
    <n v="47.099999999999994"/>
    <x v="7"/>
    <x v="8"/>
    <x v="1"/>
    <x v="1"/>
    <x v="0"/>
    <x v="0"/>
    <x v="29"/>
    <n v="1"/>
    <n v="2"/>
    <x v="1"/>
  </r>
  <r>
    <s v="TX500185"/>
    <x v="8"/>
    <n v="2"/>
    <n v="25.6"/>
    <n v="51.2"/>
    <x v="7"/>
    <x v="8"/>
    <x v="0"/>
    <x v="0"/>
    <x v="2"/>
    <x v="0"/>
    <x v="23"/>
    <n v="1"/>
    <n v="2"/>
    <x v="0"/>
  </r>
  <r>
    <s v="TX500186"/>
    <x v="8"/>
    <n v="1"/>
    <n v="43.4"/>
    <n v="43.4"/>
    <x v="7"/>
    <x v="14"/>
    <x v="0"/>
    <x v="0"/>
    <x v="0"/>
    <x v="0"/>
    <x v="6"/>
    <n v="5"/>
    <n v="2"/>
    <x v="0"/>
  </r>
  <r>
    <s v="TX500187"/>
    <x v="11"/>
    <n v="9"/>
    <n v="33.4"/>
    <n v="300.59999999999997"/>
    <x v="7"/>
    <x v="6"/>
    <x v="1"/>
    <x v="0"/>
    <x v="0"/>
    <x v="0"/>
    <x v="8"/>
    <n v="0"/>
    <n v="2"/>
    <x v="1"/>
  </r>
  <r>
    <s v="TX500188"/>
    <x v="8"/>
    <n v="19"/>
    <n v="55"/>
    <n v="1045"/>
    <x v="7"/>
    <x v="8"/>
    <x v="1"/>
    <x v="1"/>
    <x v="2"/>
    <x v="0"/>
    <x v="8"/>
    <n v="1"/>
    <n v="2"/>
    <x v="1"/>
  </r>
  <r>
    <s v="TX500189"/>
    <x v="8"/>
    <n v="3"/>
    <n v="23.6"/>
    <n v="70.800000000000011"/>
    <x v="7"/>
    <x v="8"/>
    <x v="0"/>
    <x v="0"/>
    <x v="2"/>
    <x v="0"/>
    <x v="8"/>
    <n v="1"/>
    <n v="2"/>
    <x v="0"/>
  </r>
  <r>
    <s v="TX500190"/>
    <x v="12"/>
    <n v="9"/>
    <n v="104"/>
    <n v="936"/>
    <x v="7"/>
    <x v="9"/>
    <x v="1"/>
    <x v="2"/>
    <x v="2"/>
    <x v="0"/>
    <x v="17"/>
    <n v="2"/>
    <n v="2"/>
    <x v="1"/>
  </r>
  <r>
    <s v="TX500191"/>
    <x v="6"/>
    <n v="2"/>
    <n v="51.8"/>
    <n v="103.6"/>
    <x v="7"/>
    <x v="12"/>
    <x v="2"/>
    <x v="0"/>
    <x v="2"/>
    <x v="0"/>
    <x v="10"/>
    <n v="4"/>
    <n v="2"/>
    <x v="2"/>
  </r>
  <r>
    <s v="TX500192"/>
    <x v="10"/>
    <n v="5"/>
    <n v="34.5"/>
    <n v="172.5"/>
    <x v="7"/>
    <x v="9"/>
    <x v="2"/>
    <x v="2"/>
    <x v="2"/>
    <x v="0"/>
    <x v="11"/>
    <n v="2"/>
    <n v="2"/>
    <x v="2"/>
  </r>
  <r>
    <s v="TX500193"/>
    <x v="6"/>
    <n v="2"/>
    <n v="51.8"/>
    <n v="103.6"/>
    <x v="7"/>
    <x v="9"/>
    <x v="0"/>
    <x v="1"/>
    <x v="2"/>
    <x v="0"/>
    <x v="30"/>
    <n v="2"/>
    <n v="2"/>
    <x v="0"/>
  </r>
  <r>
    <s v="TX500194"/>
    <x v="18"/>
    <n v="43"/>
    <n v="131.5"/>
    <n v="5654.5"/>
    <x v="7"/>
    <x v="8"/>
    <x v="1"/>
    <x v="0"/>
    <x v="2"/>
    <x v="0"/>
    <x v="18"/>
    <n v="1"/>
    <n v="2"/>
    <x v="1"/>
  </r>
  <r>
    <s v="TX500195"/>
    <x v="8"/>
    <n v="7"/>
    <n v="47.8"/>
    <n v="334.59999999999997"/>
    <x v="7"/>
    <x v="6"/>
    <x v="1"/>
    <x v="0"/>
    <x v="0"/>
    <x v="0"/>
    <x v="19"/>
    <n v="0"/>
    <n v="2"/>
    <x v="1"/>
  </r>
  <r>
    <s v="TX500196"/>
    <x v="0"/>
    <n v="2"/>
    <n v="10.199999999999999"/>
    <n v="20.399999999999999"/>
    <x v="7"/>
    <x v="9"/>
    <x v="1"/>
    <x v="0"/>
    <x v="0"/>
    <x v="0"/>
    <x v="19"/>
    <n v="2"/>
    <n v="2"/>
    <x v="1"/>
  </r>
  <r>
    <s v="TX500197"/>
    <x v="8"/>
    <n v="8"/>
    <n v="41"/>
    <n v="328"/>
    <x v="7"/>
    <x v="6"/>
    <x v="1"/>
    <x v="1"/>
    <x v="2"/>
    <x v="0"/>
    <x v="19"/>
    <n v="0"/>
    <n v="2"/>
    <x v="1"/>
  </r>
  <r>
    <s v="TX500198"/>
    <x v="10"/>
    <n v="7"/>
    <n v="50.8"/>
    <n v="355.59999999999997"/>
    <x v="7"/>
    <x v="7"/>
    <x v="1"/>
    <x v="1"/>
    <x v="0"/>
    <x v="0"/>
    <x v="21"/>
    <n v="3"/>
    <n v="2"/>
    <x v="1"/>
  </r>
  <r>
    <s v="TX500199"/>
    <x v="18"/>
    <n v="3"/>
    <n v="39.6"/>
    <n v="118.80000000000001"/>
    <x v="7"/>
    <x v="8"/>
    <x v="0"/>
    <x v="2"/>
    <x v="2"/>
    <x v="0"/>
    <x v="1"/>
    <n v="1"/>
    <n v="2"/>
    <x v="0"/>
  </r>
  <r>
    <s v="TX500200"/>
    <x v="5"/>
    <n v="2"/>
    <n v="69.5"/>
    <n v="139"/>
    <x v="7"/>
    <x v="9"/>
    <x v="0"/>
    <x v="0"/>
    <x v="2"/>
    <x v="0"/>
    <x v="2"/>
    <n v="2"/>
    <n v="2"/>
    <x v="0"/>
  </r>
  <r>
    <s v="TX500201"/>
    <x v="8"/>
    <n v="8"/>
    <n v="32.6"/>
    <n v="260.8"/>
    <x v="7"/>
    <x v="7"/>
    <x v="0"/>
    <x v="1"/>
    <x v="0"/>
    <x v="0"/>
    <x v="3"/>
    <n v="3"/>
    <n v="2"/>
    <x v="0"/>
  </r>
  <r>
    <s v="TX500202"/>
    <x v="7"/>
    <n v="2"/>
    <n v="49.1"/>
    <n v="98.2"/>
    <x v="7"/>
    <x v="15"/>
    <x v="0"/>
    <x v="3"/>
    <x v="2"/>
    <x v="0"/>
    <x v="3"/>
    <n v="8"/>
    <n v="2"/>
    <x v="0"/>
  </r>
  <r>
    <s v="TX500203"/>
    <x v="6"/>
    <n v="2"/>
    <n v="49.4"/>
    <n v="98.8"/>
    <x v="8"/>
    <x v="9"/>
    <x v="1"/>
    <x v="2"/>
    <x v="0"/>
    <x v="0"/>
    <x v="3"/>
    <n v="1"/>
    <n v="2"/>
    <x v="1"/>
  </r>
  <r>
    <s v="TX500204"/>
    <x v="7"/>
    <n v="7"/>
    <n v="65.099999999999994"/>
    <n v="455.69999999999993"/>
    <x v="8"/>
    <x v="12"/>
    <x v="1"/>
    <x v="2"/>
    <x v="2"/>
    <x v="0"/>
    <x v="3"/>
    <n v="3"/>
    <n v="2"/>
    <x v="1"/>
  </r>
  <r>
    <s v="TX500205"/>
    <x v="3"/>
    <n v="2"/>
    <n v="52.1"/>
    <n v="104.2"/>
    <x v="8"/>
    <x v="14"/>
    <x v="1"/>
    <x v="2"/>
    <x v="0"/>
    <x v="0"/>
    <x v="3"/>
    <n v="4"/>
    <n v="2"/>
    <x v="1"/>
  </r>
  <r>
    <s v="TX500206"/>
    <x v="2"/>
    <n v="4"/>
    <n v="129.19999999999999"/>
    <n v="516.79999999999995"/>
    <x v="8"/>
    <x v="9"/>
    <x v="1"/>
    <x v="1"/>
    <x v="0"/>
    <x v="0"/>
    <x v="3"/>
    <n v="1"/>
    <n v="2"/>
    <x v="1"/>
  </r>
  <r>
    <s v="TX500207"/>
    <x v="1"/>
    <n v="19"/>
    <n v="81.8"/>
    <n v="1554.2"/>
    <x v="8"/>
    <x v="8"/>
    <x v="1"/>
    <x v="1"/>
    <x v="1"/>
    <x v="0"/>
    <x v="3"/>
    <n v="0"/>
    <n v="2"/>
    <x v="1"/>
  </r>
  <r>
    <s v="TX500208"/>
    <x v="17"/>
    <n v="1"/>
    <n v="24.9"/>
    <n v="24.9"/>
    <x v="8"/>
    <x v="14"/>
    <x v="1"/>
    <x v="1"/>
    <x v="0"/>
    <x v="0"/>
    <x v="3"/>
    <n v="4"/>
    <n v="2"/>
    <x v="1"/>
  </r>
  <r>
    <s v="TX500209"/>
    <x v="0"/>
    <n v="3"/>
    <n v="49.4"/>
    <n v="148.19999999999999"/>
    <x v="8"/>
    <x v="12"/>
    <x v="1"/>
    <x v="4"/>
    <x v="4"/>
    <x v="0"/>
    <x v="3"/>
    <n v="3"/>
    <n v="2"/>
    <x v="1"/>
  </r>
  <r>
    <s v="TX500210"/>
    <x v="8"/>
    <n v="2"/>
    <n v="22.7"/>
    <n v="45.4"/>
    <x v="8"/>
    <x v="9"/>
    <x v="0"/>
    <x v="3"/>
    <x v="2"/>
    <x v="0"/>
    <x v="3"/>
    <n v="1"/>
    <n v="2"/>
    <x v="0"/>
  </r>
  <r>
    <s v="TX500211"/>
    <x v="1"/>
    <n v="1"/>
    <n v="77.3"/>
    <n v="77.3"/>
    <x v="8"/>
    <x v="8"/>
    <x v="1"/>
    <x v="0"/>
    <x v="2"/>
    <x v="0"/>
    <x v="6"/>
    <n v="0"/>
    <n v="2"/>
    <x v="1"/>
  </r>
  <r>
    <s v="TX500212"/>
    <x v="1"/>
    <n v="5"/>
    <n v="109.1"/>
    <n v="545.5"/>
    <x v="8"/>
    <x v="12"/>
    <x v="1"/>
    <x v="0"/>
    <x v="0"/>
    <x v="0"/>
    <x v="6"/>
    <n v="3"/>
    <n v="2"/>
    <x v="1"/>
  </r>
  <r>
    <s v="TX500213"/>
    <x v="2"/>
    <n v="4"/>
    <n v="53.9"/>
    <n v="215.6"/>
    <x v="8"/>
    <x v="9"/>
    <x v="0"/>
    <x v="0"/>
    <x v="1"/>
    <x v="0"/>
    <x v="8"/>
    <n v="1"/>
    <n v="2"/>
    <x v="0"/>
  </r>
  <r>
    <s v="TX500214"/>
    <x v="9"/>
    <n v="26"/>
    <n v="21.2"/>
    <n v="551.19999999999993"/>
    <x v="8"/>
    <x v="8"/>
    <x v="1"/>
    <x v="0"/>
    <x v="0"/>
    <x v="0"/>
    <x v="9"/>
    <n v="0"/>
    <n v="2"/>
    <x v="1"/>
  </r>
  <r>
    <s v="TX500215"/>
    <x v="16"/>
    <n v="4"/>
    <n v="69"/>
    <n v="276"/>
    <x v="8"/>
    <x v="7"/>
    <x v="1"/>
    <x v="1"/>
    <x v="1"/>
    <x v="0"/>
    <x v="18"/>
    <n v="2"/>
    <n v="2"/>
    <x v="1"/>
  </r>
  <r>
    <s v="TX500216"/>
    <x v="6"/>
    <n v="3"/>
    <n v="46.2"/>
    <n v="138.60000000000002"/>
    <x v="8"/>
    <x v="7"/>
    <x v="1"/>
    <x v="0"/>
    <x v="2"/>
    <x v="0"/>
    <x v="31"/>
    <n v="2"/>
    <n v="2"/>
    <x v="1"/>
  </r>
  <r>
    <s v="TX500217"/>
    <x v="1"/>
    <n v="5"/>
    <n v="97.4"/>
    <n v="487"/>
    <x v="8"/>
    <x v="14"/>
    <x v="1"/>
    <x v="4"/>
    <x v="2"/>
    <x v="0"/>
    <x v="21"/>
    <n v="4"/>
    <n v="2"/>
    <x v="1"/>
  </r>
  <r>
    <s v="TX500218"/>
    <x v="8"/>
    <n v="5"/>
    <n v="21"/>
    <n v="105"/>
    <x v="8"/>
    <x v="9"/>
    <x v="0"/>
    <x v="0"/>
    <x v="1"/>
    <x v="0"/>
    <x v="21"/>
    <n v="1"/>
    <n v="2"/>
    <x v="0"/>
  </r>
  <r>
    <s v="TX500219"/>
    <x v="5"/>
    <n v="2"/>
    <n v="32.700000000000003"/>
    <n v="65.400000000000006"/>
    <x v="9"/>
    <x v="14"/>
    <x v="1"/>
    <x v="1"/>
    <x v="0"/>
    <x v="0"/>
    <x v="2"/>
    <n v="3"/>
    <n v="2"/>
    <x v="1"/>
  </r>
  <r>
    <s v="TX500220"/>
    <x v="6"/>
    <n v="4"/>
    <n v="48"/>
    <n v="192"/>
    <x v="9"/>
    <x v="7"/>
    <x v="0"/>
    <x v="3"/>
    <x v="0"/>
    <x v="0"/>
    <x v="3"/>
    <n v="1"/>
    <n v="2"/>
    <x v="0"/>
  </r>
  <r>
    <s v="TX500221"/>
    <x v="6"/>
    <n v="3"/>
    <n v="68.2"/>
    <n v="204.60000000000002"/>
    <x v="9"/>
    <x v="16"/>
    <x v="2"/>
    <x v="0"/>
    <x v="2"/>
    <x v="0"/>
    <x v="3"/>
    <n v="4"/>
    <n v="2"/>
    <x v="2"/>
  </r>
  <r>
    <s v="TX500222"/>
    <x v="5"/>
    <n v="1"/>
    <n v="45.4"/>
    <n v="45.4"/>
    <x v="9"/>
    <x v="12"/>
    <x v="0"/>
    <x v="1"/>
    <x v="0"/>
    <x v="0"/>
    <x v="3"/>
    <n v="2"/>
    <n v="2"/>
    <x v="0"/>
  </r>
  <r>
    <s v="TX500223"/>
    <x v="12"/>
    <n v="2"/>
    <n v="53.9"/>
    <n v="107.8"/>
    <x v="9"/>
    <x v="7"/>
    <x v="1"/>
    <x v="2"/>
    <x v="0"/>
    <x v="0"/>
    <x v="3"/>
    <n v="1"/>
    <n v="2"/>
    <x v="1"/>
  </r>
  <r>
    <s v="TX500224"/>
    <x v="2"/>
    <n v="4"/>
    <n v="62.1"/>
    <n v="248.4"/>
    <x v="9"/>
    <x v="16"/>
    <x v="1"/>
    <x v="0"/>
    <x v="0"/>
    <x v="0"/>
    <x v="4"/>
    <n v="4"/>
    <n v="2"/>
    <x v="1"/>
  </r>
  <r>
    <s v="TX500225"/>
    <x v="13"/>
    <n v="7"/>
    <n v="33.1"/>
    <n v="231.70000000000002"/>
    <x v="9"/>
    <x v="11"/>
    <x v="0"/>
    <x v="1"/>
    <x v="0"/>
    <x v="0"/>
    <x v="6"/>
    <n v="5"/>
    <n v="2"/>
    <x v="0"/>
  </r>
  <r>
    <s v="TX500226"/>
    <x v="18"/>
    <n v="5"/>
    <n v="35.200000000000003"/>
    <n v="176"/>
    <x v="9"/>
    <x v="9"/>
    <x v="1"/>
    <x v="1"/>
    <x v="0"/>
    <x v="0"/>
    <x v="6"/>
    <n v="0"/>
    <n v="2"/>
    <x v="1"/>
  </r>
  <r>
    <s v="TX500227"/>
    <x v="9"/>
    <n v="3"/>
    <n v="32.1"/>
    <n v="96.300000000000011"/>
    <x v="9"/>
    <x v="11"/>
    <x v="0"/>
    <x v="3"/>
    <x v="0"/>
    <x v="0"/>
    <x v="8"/>
    <n v="5"/>
    <n v="2"/>
    <x v="0"/>
  </r>
  <r>
    <s v="TX500228"/>
    <x v="11"/>
    <n v="1"/>
    <n v="38.1"/>
    <n v="38.1"/>
    <x v="9"/>
    <x v="11"/>
    <x v="1"/>
    <x v="0"/>
    <x v="2"/>
    <x v="0"/>
    <x v="8"/>
    <n v="5"/>
    <n v="2"/>
    <x v="1"/>
  </r>
  <r>
    <s v="TX500229"/>
    <x v="8"/>
    <n v="1"/>
    <n v="65.2"/>
    <n v="65.2"/>
    <x v="9"/>
    <x v="11"/>
    <x v="1"/>
    <x v="3"/>
    <x v="1"/>
    <x v="0"/>
    <x v="8"/>
    <n v="5"/>
    <n v="2"/>
    <x v="1"/>
  </r>
  <r>
    <s v="TX500230"/>
    <x v="10"/>
    <n v="7"/>
    <n v="55.2"/>
    <n v="386.40000000000003"/>
    <x v="9"/>
    <x v="7"/>
    <x v="0"/>
    <x v="2"/>
    <x v="0"/>
    <x v="0"/>
    <x v="11"/>
    <n v="1"/>
    <n v="2"/>
    <x v="0"/>
  </r>
  <r>
    <s v="TX500231"/>
    <x v="6"/>
    <n v="1"/>
    <n v="62"/>
    <n v="62"/>
    <x v="9"/>
    <x v="16"/>
    <x v="1"/>
    <x v="0"/>
    <x v="0"/>
    <x v="0"/>
    <x v="11"/>
    <n v="4"/>
    <n v="2"/>
    <x v="1"/>
  </r>
  <r>
    <s v="TX500232"/>
    <x v="7"/>
    <n v="3"/>
    <n v="45.9"/>
    <n v="137.69999999999999"/>
    <x v="9"/>
    <x v="7"/>
    <x v="1"/>
    <x v="2"/>
    <x v="0"/>
    <x v="0"/>
    <x v="32"/>
    <n v="1"/>
    <n v="2"/>
    <x v="1"/>
  </r>
  <r>
    <s v="TX500233"/>
    <x v="18"/>
    <n v="3"/>
    <n v="58.3"/>
    <n v="174.89999999999998"/>
    <x v="9"/>
    <x v="9"/>
    <x v="0"/>
    <x v="1"/>
    <x v="1"/>
    <x v="0"/>
    <x v="18"/>
    <n v="0"/>
    <n v="2"/>
    <x v="0"/>
  </r>
  <r>
    <s v="TX500234"/>
    <x v="8"/>
    <n v="2"/>
    <n v="22.3"/>
    <n v="44.6"/>
    <x v="9"/>
    <x v="14"/>
    <x v="1"/>
    <x v="0"/>
    <x v="2"/>
    <x v="0"/>
    <x v="20"/>
    <n v="3"/>
    <n v="2"/>
    <x v="1"/>
  </r>
  <r>
    <s v="TX500235"/>
    <x v="19"/>
    <n v="5"/>
    <n v="24"/>
    <n v="120"/>
    <x v="9"/>
    <x v="7"/>
    <x v="0"/>
    <x v="4"/>
    <x v="0"/>
    <x v="0"/>
    <x v="1"/>
    <n v="1"/>
    <n v="2"/>
    <x v="0"/>
  </r>
  <r>
    <s v="TX500236"/>
    <x v="0"/>
    <n v="10"/>
    <n v="21.3"/>
    <n v="213"/>
    <x v="9"/>
    <x v="9"/>
    <x v="1"/>
    <x v="1"/>
    <x v="2"/>
    <x v="0"/>
    <x v="22"/>
    <n v="0"/>
    <n v="2"/>
    <x v="1"/>
  </r>
  <r>
    <s v="TX500237"/>
    <x v="6"/>
    <n v="41"/>
    <n v="57.8"/>
    <n v="2369.7999999999997"/>
    <x v="9"/>
    <x v="12"/>
    <x v="1"/>
    <x v="0"/>
    <x v="2"/>
    <x v="0"/>
    <x v="3"/>
    <n v="2"/>
    <n v="2"/>
    <x v="1"/>
  </r>
  <r>
    <s v="TX500238"/>
    <x v="10"/>
    <n v="3"/>
    <n v="67.599999999999994"/>
    <n v="202.79999999999998"/>
    <x v="9"/>
    <x v="7"/>
    <x v="1"/>
    <x v="0"/>
    <x v="0"/>
    <x v="0"/>
    <x v="3"/>
    <n v="1"/>
    <n v="2"/>
    <x v="1"/>
  </r>
  <r>
    <s v="TX500239"/>
    <x v="6"/>
    <n v="6"/>
    <n v="66.7"/>
    <n v="400.20000000000005"/>
    <x v="9"/>
    <x v="16"/>
    <x v="0"/>
    <x v="4"/>
    <x v="1"/>
    <x v="0"/>
    <x v="3"/>
    <n v="4"/>
    <n v="2"/>
    <x v="0"/>
  </r>
  <r>
    <s v="TX500240"/>
    <x v="1"/>
    <n v="4"/>
    <n v="53.1"/>
    <n v="212.4"/>
    <x v="9"/>
    <x v="12"/>
    <x v="1"/>
    <x v="1"/>
    <x v="0"/>
    <x v="0"/>
    <x v="3"/>
    <n v="2"/>
    <n v="2"/>
    <x v="1"/>
  </r>
  <r>
    <s v="TX500241"/>
    <x v="12"/>
    <n v="3"/>
    <n v="57.4"/>
    <n v="172.2"/>
    <x v="9"/>
    <x v="14"/>
    <x v="1"/>
    <x v="0"/>
    <x v="2"/>
    <x v="0"/>
    <x v="29"/>
    <n v="3"/>
    <n v="2"/>
    <x v="1"/>
  </r>
  <r>
    <s v="TX500242"/>
    <x v="2"/>
    <n v="5"/>
    <n v="58.1"/>
    <n v="290.5"/>
    <x v="9"/>
    <x v="9"/>
    <x v="0"/>
    <x v="2"/>
    <x v="2"/>
    <x v="0"/>
    <x v="6"/>
    <n v="0"/>
    <n v="2"/>
    <x v="0"/>
  </r>
  <r>
    <s v="TX500243"/>
    <x v="5"/>
    <n v="3"/>
    <n v="31.8"/>
    <n v="95.4"/>
    <x v="10"/>
    <x v="14"/>
    <x v="0"/>
    <x v="3"/>
    <x v="0"/>
    <x v="0"/>
    <x v="6"/>
    <n v="2"/>
    <n v="2"/>
    <x v="0"/>
  </r>
  <r>
    <s v="TX500244"/>
    <x v="4"/>
    <n v="3"/>
    <n v="31.5"/>
    <n v="94.5"/>
    <x v="10"/>
    <x v="16"/>
    <x v="0"/>
    <x v="0"/>
    <x v="1"/>
    <x v="0"/>
    <x v="8"/>
    <n v="3"/>
    <n v="2"/>
    <x v="0"/>
  </r>
  <r>
    <s v="TX500245"/>
    <x v="6"/>
    <n v="7"/>
    <n v="55.9"/>
    <n v="391.3"/>
    <x v="10"/>
    <x v="11"/>
    <x v="1"/>
    <x v="1"/>
    <x v="2"/>
    <x v="0"/>
    <x v="8"/>
    <n v="4"/>
    <n v="2"/>
    <x v="1"/>
  </r>
  <r>
    <s v="TX500246"/>
    <x v="8"/>
    <n v="2"/>
    <n v="36.4"/>
    <n v="72.8"/>
    <x v="10"/>
    <x v="12"/>
    <x v="0"/>
    <x v="1"/>
    <x v="1"/>
    <x v="0"/>
    <x v="9"/>
    <n v="1"/>
    <n v="2"/>
    <x v="0"/>
  </r>
  <r>
    <s v="TX500247"/>
    <x v="1"/>
    <n v="5"/>
    <n v="47.3"/>
    <n v="236.5"/>
    <x v="10"/>
    <x v="16"/>
    <x v="0"/>
    <x v="2"/>
    <x v="0"/>
    <x v="0"/>
    <x v="10"/>
    <n v="3"/>
    <n v="2"/>
    <x v="0"/>
  </r>
  <r>
    <s v="TX500248"/>
    <x v="6"/>
    <n v="3"/>
    <n v="82.5"/>
    <n v="247.5"/>
    <x v="10"/>
    <x v="12"/>
    <x v="0"/>
    <x v="0"/>
    <x v="0"/>
    <x v="0"/>
    <x v="11"/>
    <n v="1"/>
    <n v="2"/>
    <x v="0"/>
  </r>
  <r>
    <s v="TX500249"/>
    <x v="0"/>
    <n v="1"/>
    <n v="14.3"/>
    <n v="14.3"/>
    <x v="10"/>
    <x v="12"/>
    <x v="1"/>
    <x v="0"/>
    <x v="0"/>
    <x v="0"/>
    <x v="21"/>
    <n v="1"/>
    <n v="2"/>
    <x v="1"/>
  </r>
  <r>
    <s v="TX500250"/>
    <x v="2"/>
    <n v="6"/>
    <n v="57.6"/>
    <n v="345.6"/>
    <x v="10"/>
    <x v="17"/>
    <x v="1"/>
    <x v="0"/>
    <x v="0"/>
    <x v="0"/>
    <x v="21"/>
    <n v="14"/>
    <n v="2"/>
    <x v="1"/>
  </r>
  <r>
    <s v="TX500251"/>
    <x v="2"/>
    <n v="3"/>
    <n v="142.4"/>
    <n v="427.20000000000005"/>
    <x v="10"/>
    <x v="14"/>
    <x v="0"/>
    <x v="4"/>
    <x v="1"/>
    <x v="0"/>
    <x v="21"/>
    <n v="2"/>
    <n v="2"/>
    <x v="0"/>
  </r>
  <r>
    <s v="TX500252"/>
    <x v="12"/>
    <n v="1"/>
    <n v="30.2"/>
    <n v="30.2"/>
    <x v="10"/>
    <x v="11"/>
    <x v="0"/>
    <x v="1"/>
    <x v="2"/>
    <x v="0"/>
    <x v="2"/>
    <n v="4"/>
    <n v="2"/>
    <x v="0"/>
  </r>
  <r>
    <s v="TX500253"/>
    <x v="18"/>
    <n v="3"/>
    <n v="65.3"/>
    <n v="195.89999999999998"/>
    <x v="10"/>
    <x v="12"/>
    <x v="3"/>
    <x v="1"/>
    <x v="0"/>
    <x v="0"/>
    <x v="33"/>
    <n v="1"/>
    <n v="2"/>
    <x v="3"/>
  </r>
  <r>
    <s v="TX500254"/>
    <x v="0"/>
    <n v="2"/>
    <n v="33.4"/>
    <n v="66.8"/>
    <x v="10"/>
    <x v="12"/>
    <x v="0"/>
    <x v="1"/>
    <x v="1"/>
    <x v="0"/>
    <x v="22"/>
    <n v="1"/>
    <n v="2"/>
    <x v="0"/>
  </r>
  <r>
    <s v="TX500255"/>
    <x v="7"/>
    <n v="2"/>
    <n v="45.1"/>
    <n v="90.2"/>
    <x v="10"/>
    <x v="18"/>
    <x v="0"/>
    <x v="0"/>
    <x v="0"/>
    <x v="0"/>
    <x v="34"/>
    <n v="8"/>
    <n v="2"/>
    <x v="0"/>
  </r>
  <r>
    <s v="TX500256"/>
    <x v="2"/>
    <n v="7"/>
    <n v="61.7"/>
    <n v="431.90000000000003"/>
    <x v="10"/>
    <x v="14"/>
    <x v="1"/>
    <x v="4"/>
    <x v="0"/>
    <x v="0"/>
    <x v="3"/>
    <n v="2"/>
    <n v="2"/>
    <x v="1"/>
  </r>
  <r>
    <s v="TX500257"/>
    <x v="9"/>
    <n v="3"/>
    <n v="45.1"/>
    <n v="135.30000000000001"/>
    <x v="11"/>
    <x v="14"/>
    <x v="0"/>
    <x v="4"/>
    <x v="1"/>
    <x v="0"/>
    <x v="3"/>
    <n v="1"/>
    <n v="3"/>
    <x v="0"/>
  </r>
  <r>
    <s v="TX500258"/>
    <x v="15"/>
    <n v="5"/>
    <n v="22.7"/>
    <n v="113.5"/>
    <x v="11"/>
    <x v="10"/>
    <x v="0"/>
    <x v="0"/>
    <x v="2"/>
    <x v="0"/>
    <x v="35"/>
    <n v="5"/>
    <n v="3"/>
    <x v="0"/>
  </r>
  <r>
    <s v="TX500259"/>
    <x v="8"/>
    <n v="1"/>
    <n v="17.600000000000001"/>
    <n v="17.600000000000001"/>
    <x v="11"/>
    <x v="14"/>
    <x v="1"/>
    <x v="0"/>
    <x v="2"/>
    <x v="0"/>
    <x v="23"/>
    <n v="1"/>
    <n v="3"/>
    <x v="1"/>
  </r>
  <r>
    <s v="TX500260"/>
    <x v="14"/>
    <n v="2"/>
    <n v="11.3"/>
    <n v="22.6"/>
    <x v="11"/>
    <x v="11"/>
    <x v="1"/>
    <x v="3"/>
    <x v="2"/>
    <x v="0"/>
    <x v="23"/>
    <n v="3"/>
    <n v="3"/>
    <x v="1"/>
  </r>
  <r>
    <s v="TX500261"/>
    <x v="6"/>
    <n v="3"/>
    <n v="53.4"/>
    <n v="160.19999999999999"/>
    <x v="11"/>
    <x v="11"/>
    <x v="0"/>
    <x v="3"/>
    <x v="2"/>
    <x v="0"/>
    <x v="36"/>
    <n v="3"/>
    <n v="3"/>
    <x v="0"/>
  </r>
  <r>
    <s v="TX500262"/>
    <x v="6"/>
    <n v="11"/>
    <n v="51.1"/>
    <n v="562.1"/>
    <x v="11"/>
    <x v="16"/>
    <x v="1"/>
    <x v="2"/>
    <x v="2"/>
    <x v="0"/>
    <x v="8"/>
    <n v="2"/>
    <n v="3"/>
    <x v="1"/>
  </r>
  <r>
    <s v="TX500263"/>
    <x v="8"/>
    <n v="2"/>
    <n v="27.5"/>
    <n v="55"/>
    <x v="11"/>
    <x v="14"/>
    <x v="0"/>
    <x v="4"/>
    <x v="1"/>
    <x v="0"/>
    <x v="8"/>
    <n v="1"/>
    <n v="3"/>
    <x v="0"/>
  </r>
  <r>
    <s v="TX500264"/>
    <x v="9"/>
    <n v="1"/>
    <n v="33.5"/>
    <n v="33.5"/>
    <x v="11"/>
    <x v="16"/>
    <x v="1"/>
    <x v="0"/>
    <x v="4"/>
    <x v="0"/>
    <x v="8"/>
    <n v="2"/>
    <n v="3"/>
    <x v="1"/>
  </r>
  <r>
    <s v="TX500265"/>
    <x v="4"/>
    <n v="1"/>
    <n v="59.5"/>
    <n v="59.5"/>
    <x v="11"/>
    <x v="12"/>
    <x v="0"/>
    <x v="0"/>
    <x v="2"/>
    <x v="0"/>
    <x v="18"/>
    <n v="0"/>
    <n v="3"/>
    <x v="0"/>
  </r>
  <r>
    <s v="TX500266"/>
    <x v="17"/>
    <n v="4"/>
    <n v="23.5"/>
    <n v="94"/>
    <x v="11"/>
    <x v="14"/>
    <x v="1"/>
    <x v="3"/>
    <x v="3"/>
    <x v="0"/>
    <x v="19"/>
    <n v="1"/>
    <n v="3"/>
    <x v="1"/>
  </r>
  <r>
    <s v="TX500267"/>
    <x v="6"/>
    <n v="1"/>
    <n v="49.7"/>
    <n v="49.7"/>
    <x v="11"/>
    <x v="14"/>
    <x v="2"/>
    <x v="1"/>
    <x v="2"/>
    <x v="0"/>
    <x v="20"/>
    <n v="1"/>
    <n v="3"/>
    <x v="2"/>
  </r>
  <r>
    <s v="TX500268"/>
    <x v="6"/>
    <n v="4"/>
    <n v="44.2"/>
    <n v="176.8"/>
    <x v="11"/>
    <x v="11"/>
    <x v="1"/>
    <x v="0"/>
    <x v="2"/>
    <x v="0"/>
    <x v="21"/>
    <n v="3"/>
    <n v="3"/>
    <x v="1"/>
  </r>
  <r>
    <s v="TX500269"/>
    <x v="8"/>
    <n v="1"/>
    <n v="22.1"/>
    <n v="22.1"/>
    <x v="11"/>
    <x v="15"/>
    <x v="1"/>
    <x v="1"/>
    <x v="1"/>
    <x v="0"/>
    <x v="33"/>
    <n v="4"/>
    <n v="3"/>
    <x v="1"/>
  </r>
  <r>
    <s v="TX500270"/>
    <x v="6"/>
    <n v="3"/>
    <n v="90.9"/>
    <n v="272.70000000000005"/>
    <x v="11"/>
    <x v="14"/>
    <x v="1"/>
    <x v="2"/>
    <x v="4"/>
    <x v="0"/>
    <x v="3"/>
    <n v="1"/>
    <n v="3"/>
    <x v="1"/>
  </r>
  <r>
    <s v="TX500271"/>
    <x v="8"/>
    <n v="3"/>
    <n v="44.5"/>
    <n v="133.5"/>
    <x v="11"/>
    <x v="14"/>
    <x v="1"/>
    <x v="1"/>
    <x v="0"/>
    <x v="0"/>
    <x v="3"/>
    <n v="1"/>
    <n v="3"/>
    <x v="1"/>
  </r>
  <r>
    <s v="TX500272"/>
    <x v="9"/>
    <n v="6"/>
    <n v="32.299999999999997"/>
    <n v="193.79999999999998"/>
    <x v="11"/>
    <x v="15"/>
    <x v="1"/>
    <x v="0"/>
    <x v="0"/>
    <x v="0"/>
    <x v="3"/>
    <n v="4"/>
    <n v="3"/>
    <x v="1"/>
  </r>
  <r>
    <s v="TX500273"/>
    <x v="17"/>
    <n v="3"/>
    <n v="87.5"/>
    <n v="262.5"/>
    <x v="11"/>
    <x v="14"/>
    <x v="1"/>
    <x v="1"/>
    <x v="1"/>
    <x v="0"/>
    <x v="3"/>
    <n v="1"/>
    <n v="3"/>
    <x v="1"/>
  </r>
  <r>
    <s v="TX500274"/>
    <x v="16"/>
    <n v="5"/>
    <n v="48.7"/>
    <n v="243.5"/>
    <x v="11"/>
    <x v="14"/>
    <x v="0"/>
    <x v="2"/>
    <x v="0"/>
    <x v="0"/>
    <x v="3"/>
    <n v="1"/>
    <n v="3"/>
    <x v="0"/>
  </r>
  <r>
    <s v="TX500275"/>
    <x v="0"/>
    <n v="5"/>
    <n v="22.5"/>
    <n v="112.5"/>
    <x v="11"/>
    <x v="14"/>
    <x v="0"/>
    <x v="0"/>
    <x v="0"/>
    <x v="0"/>
    <x v="3"/>
    <n v="1"/>
    <n v="3"/>
    <x v="0"/>
  </r>
  <r>
    <s v="TX500276"/>
    <x v="1"/>
    <n v="8"/>
    <n v="65.900000000000006"/>
    <n v="527.20000000000005"/>
    <x v="11"/>
    <x v="11"/>
    <x v="1"/>
    <x v="1"/>
    <x v="2"/>
    <x v="0"/>
    <x v="3"/>
    <n v="3"/>
    <n v="3"/>
    <x v="1"/>
  </r>
  <r>
    <s v="TX500277"/>
    <x v="6"/>
    <n v="5"/>
    <n v="41.9"/>
    <n v="209.5"/>
    <x v="11"/>
    <x v="18"/>
    <x v="2"/>
    <x v="0"/>
    <x v="0"/>
    <x v="0"/>
    <x v="3"/>
    <n v="7"/>
    <n v="3"/>
    <x v="2"/>
  </r>
  <r>
    <s v="TX500278"/>
    <x v="1"/>
    <n v="5"/>
    <n v="67.5"/>
    <n v="337.5"/>
    <x v="11"/>
    <x v="14"/>
    <x v="1"/>
    <x v="0"/>
    <x v="2"/>
    <x v="0"/>
    <x v="3"/>
    <n v="1"/>
    <n v="3"/>
    <x v="1"/>
  </r>
  <r>
    <s v="TX500279"/>
    <x v="9"/>
    <n v="1"/>
    <n v="60.4"/>
    <n v="60.4"/>
    <x v="12"/>
    <x v="11"/>
    <x v="1"/>
    <x v="1"/>
    <x v="1"/>
    <x v="0"/>
    <x v="3"/>
    <n v="2"/>
    <n v="3"/>
    <x v="1"/>
  </r>
  <r>
    <s v="TX500280"/>
    <x v="1"/>
    <n v="7"/>
    <n v="30.4"/>
    <n v="212.79999999999998"/>
    <x v="12"/>
    <x v="15"/>
    <x v="1"/>
    <x v="4"/>
    <x v="0"/>
    <x v="0"/>
    <x v="3"/>
    <n v="3"/>
    <n v="3"/>
    <x v="1"/>
  </r>
  <r>
    <s v="TX500281"/>
    <x v="14"/>
    <n v="2"/>
    <n v="24.5"/>
    <n v="49"/>
    <x v="12"/>
    <x v="16"/>
    <x v="0"/>
    <x v="3"/>
    <x v="2"/>
    <x v="0"/>
    <x v="3"/>
    <n v="1"/>
    <n v="3"/>
    <x v="0"/>
  </r>
  <r>
    <s v="TX500282"/>
    <x v="2"/>
    <n v="3"/>
    <n v="105.9"/>
    <n v="317.70000000000005"/>
    <x v="12"/>
    <x v="13"/>
    <x v="0"/>
    <x v="0"/>
    <x v="0"/>
    <x v="0"/>
    <x v="37"/>
    <n v="5"/>
    <n v="3"/>
    <x v="0"/>
  </r>
  <r>
    <s v="TX500283"/>
    <x v="10"/>
    <n v="24"/>
    <n v="25.9"/>
    <n v="621.59999999999991"/>
    <x v="12"/>
    <x v="16"/>
    <x v="1"/>
    <x v="4"/>
    <x v="0"/>
    <x v="0"/>
    <x v="23"/>
    <n v="1"/>
    <n v="3"/>
    <x v="1"/>
  </r>
  <r>
    <s v="TX500284"/>
    <x v="6"/>
    <n v="3"/>
    <n v="66.8"/>
    <n v="200.39999999999998"/>
    <x v="12"/>
    <x v="14"/>
    <x v="0"/>
    <x v="0"/>
    <x v="0"/>
    <x v="0"/>
    <x v="23"/>
    <n v="0"/>
    <n v="3"/>
    <x v="0"/>
  </r>
  <r>
    <s v="TX500285"/>
    <x v="6"/>
    <n v="3"/>
    <n v="112.3"/>
    <n v="336.9"/>
    <x v="12"/>
    <x v="16"/>
    <x v="0"/>
    <x v="2"/>
    <x v="4"/>
    <x v="0"/>
    <x v="6"/>
    <n v="1"/>
    <n v="3"/>
    <x v="0"/>
  </r>
  <r>
    <s v="TX500286"/>
    <x v="1"/>
    <n v="6"/>
    <n v="94.1"/>
    <n v="564.59999999999991"/>
    <x v="12"/>
    <x v="16"/>
    <x v="1"/>
    <x v="0"/>
    <x v="4"/>
    <x v="0"/>
    <x v="6"/>
    <n v="1"/>
    <n v="3"/>
    <x v="1"/>
  </r>
  <r>
    <s v="TX500287"/>
    <x v="5"/>
    <n v="1"/>
    <n v="40.700000000000003"/>
    <n v="40.700000000000003"/>
    <x v="12"/>
    <x v="15"/>
    <x v="1"/>
    <x v="2"/>
    <x v="0"/>
    <x v="0"/>
    <x v="6"/>
    <n v="3"/>
    <n v="3"/>
    <x v="1"/>
  </r>
  <r>
    <s v="TX500288"/>
    <x v="3"/>
    <n v="2"/>
    <n v="71.400000000000006"/>
    <n v="142.80000000000001"/>
    <x v="12"/>
    <x v="16"/>
    <x v="0"/>
    <x v="0"/>
    <x v="0"/>
    <x v="0"/>
    <x v="7"/>
    <n v="1"/>
    <n v="3"/>
    <x v="0"/>
  </r>
  <r>
    <s v="TX500289"/>
    <x v="0"/>
    <n v="18"/>
    <n v="15.6"/>
    <n v="280.8"/>
    <x v="12"/>
    <x v="16"/>
    <x v="0"/>
    <x v="1"/>
    <x v="3"/>
    <x v="0"/>
    <x v="8"/>
    <n v="1"/>
    <n v="3"/>
    <x v="0"/>
  </r>
  <r>
    <s v="TX500290"/>
    <x v="10"/>
    <n v="4"/>
    <n v="37.799999999999997"/>
    <n v="151.19999999999999"/>
    <x v="12"/>
    <x v="16"/>
    <x v="0"/>
    <x v="2"/>
    <x v="2"/>
    <x v="0"/>
    <x v="8"/>
    <n v="1"/>
    <n v="3"/>
    <x v="0"/>
  </r>
  <r>
    <s v="TX500291"/>
    <x v="4"/>
    <n v="3"/>
    <n v="28.1"/>
    <n v="84.300000000000011"/>
    <x v="12"/>
    <x v="10"/>
    <x v="0"/>
    <x v="0"/>
    <x v="0"/>
    <x v="0"/>
    <x v="8"/>
    <n v="4"/>
    <n v="3"/>
    <x v="0"/>
  </r>
  <r>
    <s v="TX500292"/>
    <x v="7"/>
    <n v="6"/>
    <n v="51.4"/>
    <n v="308.39999999999998"/>
    <x v="12"/>
    <x v="10"/>
    <x v="0"/>
    <x v="0"/>
    <x v="0"/>
    <x v="0"/>
    <x v="8"/>
    <n v="4"/>
    <n v="3"/>
    <x v="0"/>
  </r>
  <r>
    <s v="TX500293"/>
    <x v="7"/>
    <n v="2"/>
    <n v="97.7"/>
    <n v="195.4"/>
    <x v="12"/>
    <x v="11"/>
    <x v="1"/>
    <x v="4"/>
    <x v="2"/>
    <x v="0"/>
    <x v="17"/>
    <n v="2"/>
    <n v="3"/>
    <x v="1"/>
  </r>
  <r>
    <s v="TX500294"/>
    <x v="1"/>
    <n v="4"/>
    <n v="63.8"/>
    <n v="255.2"/>
    <x v="12"/>
    <x v="16"/>
    <x v="0"/>
    <x v="2"/>
    <x v="0"/>
    <x v="0"/>
    <x v="38"/>
    <n v="1"/>
    <n v="3"/>
    <x v="0"/>
  </r>
  <r>
    <s v="TX500295"/>
    <x v="13"/>
    <n v="2"/>
    <n v="20.100000000000001"/>
    <n v="40.200000000000003"/>
    <x v="12"/>
    <x v="11"/>
    <x v="0"/>
    <x v="0"/>
    <x v="2"/>
    <x v="0"/>
    <x v="20"/>
    <n v="2"/>
    <n v="3"/>
    <x v="0"/>
  </r>
  <r>
    <s v="TX500296"/>
    <x v="11"/>
    <n v="3"/>
    <n v="50.4"/>
    <n v="151.19999999999999"/>
    <x v="12"/>
    <x v="15"/>
    <x v="1"/>
    <x v="3"/>
    <x v="0"/>
    <x v="0"/>
    <x v="13"/>
    <n v="3"/>
    <n v="3"/>
    <x v="1"/>
  </r>
  <r>
    <s v="TX500297"/>
    <x v="0"/>
    <n v="1"/>
    <n v="16.2"/>
    <n v="16.2"/>
    <x v="12"/>
    <x v="19"/>
    <x v="1"/>
    <x v="1"/>
    <x v="0"/>
    <x v="0"/>
    <x v="1"/>
    <n v="13"/>
    <n v="3"/>
    <x v="1"/>
  </r>
  <r>
    <s v="TX500298"/>
    <x v="6"/>
    <n v="7"/>
    <n v="80.900000000000006"/>
    <n v="566.30000000000007"/>
    <x v="12"/>
    <x v="11"/>
    <x v="0"/>
    <x v="4"/>
    <x v="4"/>
    <x v="0"/>
    <x v="2"/>
    <n v="2"/>
    <n v="3"/>
    <x v="0"/>
  </r>
  <r>
    <s v="TX500299"/>
    <x v="9"/>
    <n v="6"/>
    <n v="95.2"/>
    <n v="571.20000000000005"/>
    <x v="12"/>
    <x v="11"/>
    <x v="1"/>
    <x v="0"/>
    <x v="2"/>
    <x v="0"/>
    <x v="2"/>
    <n v="2"/>
    <n v="3"/>
    <x v="1"/>
  </r>
  <r>
    <s v="TX500300"/>
    <x v="5"/>
    <n v="8"/>
    <n v="70.400000000000006"/>
    <n v="563.20000000000005"/>
    <x v="12"/>
    <x v="16"/>
    <x v="0"/>
    <x v="1"/>
    <x v="1"/>
    <x v="0"/>
    <x v="3"/>
    <n v="1"/>
    <n v="3"/>
    <x v="0"/>
  </r>
  <r>
    <s v="TX500301"/>
    <x v="0"/>
    <n v="5"/>
    <n v="10.7"/>
    <n v="53.5"/>
    <x v="12"/>
    <x v="10"/>
    <x v="1"/>
    <x v="2"/>
    <x v="0"/>
    <x v="0"/>
    <x v="3"/>
    <n v="4"/>
    <n v="3"/>
    <x v="1"/>
  </r>
  <r>
    <s v="TX500302"/>
    <x v="8"/>
    <n v="5"/>
    <n v="19.600000000000001"/>
    <n v="98"/>
    <x v="12"/>
    <x v="11"/>
    <x v="1"/>
    <x v="0"/>
    <x v="3"/>
    <x v="0"/>
    <x v="3"/>
    <n v="2"/>
    <n v="3"/>
    <x v="1"/>
  </r>
  <r>
    <s v="TX500303"/>
    <x v="8"/>
    <n v="11"/>
    <n v="34.700000000000003"/>
    <n v="381.70000000000005"/>
    <x v="12"/>
    <x v="11"/>
    <x v="1"/>
    <x v="0"/>
    <x v="2"/>
    <x v="0"/>
    <x v="3"/>
    <n v="2"/>
    <n v="3"/>
    <x v="1"/>
  </r>
  <r>
    <s v="TX500304"/>
    <x v="10"/>
    <n v="9"/>
    <n v="34.1"/>
    <n v="306.90000000000003"/>
    <x v="12"/>
    <x v="16"/>
    <x v="1"/>
    <x v="4"/>
    <x v="1"/>
    <x v="0"/>
    <x v="3"/>
    <n v="1"/>
    <n v="3"/>
    <x v="1"/>
  </r>
  <r>
    <s v="TX500305"/>
    <x v="0"/>
    <n v="49"/>
    <n v="29.3"/>
    <n v="1435.7"/>
    <x v="12"/>
    <x v="14"/>
    <x v="0"/>
    <x v="0"/>
    <x v="1"/>
    <x v="0"/>
    <x v="3"/>
    <n v="0"/>
    <n v="3"/>
    <x v="0"/>
  </r>
  <r>
    <s v="TX500306"/>
    <x v="1"/>
    <n v="1"/>
    <n v="55.2"/>
    <n v="55.2"/>
    <x v="12"/>
    <x v="16"/>
    <x v="1"/>
    <x v="0"/>
    <x v="1"/>
    <x v="0"/>
    <x v="3"/>
    <n v="1"/>
    <n v="3"/>
    <x v="1"/>
  </r>
  <r>
    <s v="TX500307"/>
    <x v="18"/>
    <n v="3"/>
    <n v="26"/>
    <n v="78"/>
    <x v="12"/>
    <x v="15"/>
    <x v="1"/>
    <x v="0"/>
    <x v="2"/>
    <x v="0"/>
    <x v="3"/>
    <n v="3"/>
    <n v="3"/>
    <x v="1"/>
  </r>
  <r>
    <s v="TX500308"/>
    <x v="14"/>
    <n v="2"/>
    <n v="14.2"/>
    <n v="28.4"/>
    <x v="12"/>
    <x v="13"/>
    <x v="1"/>
    <x v="3"/>
    <x v="0"/>
    <x v="0"/>
    <x v="39"/>
    <n v="5"/>
    <n v="3"/>
    <x v="1"/>
  </r>
  <r>
    <s v="TX500309"/>
    <x v="8"/>
    <n v="9"/>
    <n v="22.7"/>
    <n v="204.29999999999998"/>
    <x v="13"/>
    <x v="11"/>
    <x v="0"/>
    <x v="1"/>
    <x v="0"/>
    <x v="0"/>
    <x v="6"/>
    <n v="1"/>
    <n v="3"/>
    <x v="0"/>
  </r>
  <r>
    <s v="TX500310"/>
    <x v="0"/>
    <n v="15"/>
    <n v="19.8"/>
    <n v="297"/>
    <x v="13"/>
    <x v="16"/>
    <x v="1"/>
    <x v="0"/>
    <x v="2"/>
    <x v="0"/>
    <x v="6"/>
    <n v="0"/>
    <n v="3"/>
    <x v="1"/>
  </r>
  <r>
    <s v="TX500311"/>
    <x v="0"/>
    <n v="3"/>
    <n v="31.7"/>
    <n v="95.1"/>
    <x v="13"/>
    <x v="11"/>
    <x v="0"/>
    <x v="2"/>
    <x v="0"/>
    <x v="0"/>
    <x v="6"/>
    <n v="1"/>
    <n v="3"/>
    <x v="0"/>
  </r>
  <r>
    <s v="TX500312"/>
    <x v="8"/>
    <n v="4"/>
    <n v="30.4"/>
    <n v="121.6"/>
    <x v="13"/>
    <x v="13"/>
    <x v="0"/>
    <x v="0"/>
    <x v="0"/>
    <x v="0"/>
    <x v="6"/>
    <n v="4"/>
    <n v="3"/>
    <x v="0"/>
  </r>
  <r>
    <s v="TX500313"/>
    <x v="0"/>
    <n v="4"/>
    <n v="25.6"/>
    <n v="102.4"/>
    <x v="13"/>
    <x v="11"/>
    <x v="0"/>
    <x v="3"/>
    <x v="0"/>
    <x v="0"/>
    <x v="8"/>
    <n v="1"/>
    <n v="3"/>
    <x v="0"/>
  </r>
  <r>
    <s v="TX500314"/>
    <x v="5"/>
    <n v="2"/>
    <n v="34.9"/>
    <n v="69.8"/>
    <x v="13"/>
    <x v="11"/>
    <x v="1"/>
    <x v="2"/>
    <x v="0"/>
    <x v="0"/>
    <x v="9"/>
    <n v="1"/>
    <n v="3"/>
    <x v="1"/>
  </r>
  <r>
    <s v="TX500315"/>
    <x v="7"/>
    <n v="6"/>
    <n v="42.7"/>
    <n v="256.20000000000005"/>
    <x v="13"/>
    <x v="10"/>
    <x v="0"/>
    <x v="2"/>
    <x v="1"/>
    <x v="0"/>
    <x v="11"/>
    <n v="3"/>
    <n v="3"/>
    <x v="0"/>
  </r>
  <r>
    <s v="TX500316"/>
    <x v="8"/>
    <n v="1"/>
    <n v="23.9"/>
    <n v="23.9"/>
    <x v="13"/>
    <x v="15"/>
    <x v="1"/>
    <x v="3"/>
    <x v="0"/>
    <x v="0"/>
    <x v="11"/>
    <n v="2"/>
    <n v="3"/>
    <x v="1"/>
  </r>
  <r>
    <s v="TX500317"/>
    <x v="6"/>
    <n v="1"/>
    <n v="124.3"/>
    <n v="124.3"/>
    <x v="13"/>
    <x v="11"/>
    <x v="2"/>
    <x v="2"/>
    <x v="1"/>
    <x v="0"/>
    <x v="21"/>
    <n v="1"/>
    <n v="3"/>
    <x v="2"/>
  </r>
  <r>
    <s v="TX500318"/>
    <x v="8"/>
    <n v="6"/>
    <n v="35.9"/>
    <n v="215.39999999999998"/>
    <x v="13"/>
    <x v="11"/>
    <x v="1"/>
    <x v="0"/>
    <x v="1"/>
    <x v="0"/>
    <x v="1"/>
    <n v="1"/>
    <n v="3"/>
    <x v="1"/>
  </r>
  <r>
    <s v="TX500319"/>
    <x v="2"/>
    <n v="2"/>
    <n v="69.099999999999994"/>
    <n v="138.19999999999999"/>
    <x v="13"/>
    <x v="10"/>
    <x v="1"/>
    <x v="0"/>
    <x v="2"/>
    <x v="0"/>
    <x v="22"/>
    <n v="3"/>
    <n v="3"/>
    <x v="1"/>
  </r>
  <r>
    <s v="TX500320"/>
    <x v="7"/>
    <n v="1"/>
    <n v="58.4"/>
    <n v="58.4"/>
    <x v="13"/>
    <x v="13"/>
    <x v="0"/>
    <x v="0"/>
    <x v="0"/>
    <x v="0"/>
    <x v="22"/>
    <n v="4"/>
    <n v="3"/>
    <x v="0"/>
  </r>
  <r>
    <s v="TX500321"/>
    <x v="5"/>
    <n v="1"/>
    <n v="65.2"/>
    <n v="65.2"/>
    <x v="13"/>
    <x v="15"/>
    <x v="3"/>
    <x v="4"/>
    <x v="4"/>
    <x v="0"/>
    <x v="3"/>
    <n v="2"/>
    <n v="3"/>
    <x v="3"/>
  </r>
  <r>
    <s v="TX500322"/>
    <x v="8"/>
    <n v="17"/>
    <n v="32.700000000000003"/>
    <n v="555.90000000000009"/>
    <x v="13"/>
    <x v="20"/>
    <x v="2"/>
    <x v="4"/>
    <x v="0"/>
    <x v="0"/>
    <x v="3"/>
    <n v="7"/>
    <n v="3"/>
    <x v="2"/>
  </r>
  <r>
    <s v="TX500323"/>
    <x v="10"/>
    <n v="7"/>
    <n v="24.4"/>
    <n v="170.79999999999998"/>
    <x v="13"/>
    <x v="11"/>
    <x v="1"/>
    <x v="0"/>
    <x v="0"/>
    <x v="0"/>
    <x v="3"/>
    <n v="1"/>
    <n v="3"/>
    <x v="1"/>
  </r>
  <r>
    <s v="TX500324"/>
    <x v="14"/>
    <n v="2"/>
    <n v="50.4"/>
    <n v="100.8"/>
    <x v="13"/>
    <x v="21"/>
    <x v="0"/>
    <x v="0"/>
    <x v="1"/>
    <x v="0"/>
    <x v="3"/>
    <n v="6"/>
    <n v="3"/>
    <x v="0"/>
  </r>
  <r>
    <s v="TX500325"/>
    <x v="1"/>
    <n v="2"/>
    <n v="100"/>
    <n v="200"/>
    <x v="13"/>
    <x v="11"/>
    <x v="1"/>
    <x v="0"/>
    <x v="0"/>
    <x v="0"/>
    <x v="3"/>
    <n v="1"/>
    <n v="3"/>
    <x v="1"/>
  </r>
  <r>
    <s v="TX500326"/>
    <x v="10"/>
    <n v="3"/>
    <n v="43"/>
    <n v="129"/>
    <x v="14"/>
    <x v="11"/>
    <x v="1"/>
    <x v="2"/>
    <x v="1"/>
    <x v="0"/>
    <x v="3"/>
    <n v="0"/>
    <n v="3"/>
    <x v="1"/>
  </r>
  <r>
    <s v="TX500327"/>
    <x v="1"/>
    <n v="5"/>
    <n v="64.400000000000006"/>
    <n v="322"/>
    <x v="14"/>
    <x v="10"/>
    <x v="0"/>
    <x v="2"/>
    <x v="1"/>
    <x v="0"/>
    <x v="3"/>
    <n v="2"/>
    <n v="3"/>
    <x v="0"/>
  </r>
  <r>
    <s v="TX500328"/>
    <x v="18"/>
    <n v="2"/>
    <n v="57.4"/>
    <n v="114.8"/>
    <x v="14"/>
    <x v="15"/>
    <x v="0"/>
    <x v="2"/>
    <x v="1"/>
    <x v="0"/>
    <x v="3"/>
    <n v="1"/>
    <n v="3"/>
    <x v="0"/>
  </r>
  <r>
    <s v="TX500329"/>
    <x v="2"/>
    <n v="3"/>
    <n v="55.1"/>
    <n v="165.3"/>
    <x v="14"/>
    <x v="13"/>
    <x v="1"/>
    <x v="1"/>
    <x v="0"/>
    <x v="0"/>
    <x v="3"/>
    <n v="3"/>
    <n v="3"/>
    <x v="1"/>
  </r>
  <r>
    <s v="TX500330"/>
    <x v="7"/>
    <n v="4"/>
    <n v="45.4"/>
    <n v="181.6"/>
    <x v="14"/>
    <x v="15"/>
    <x v="1"/>
    <x v="1"/>
    <x v="0"/>
    <x v="0"/>
    <x v="3"/>
    <n v="1"/>
    <n v="3"/>
    <x v="1"/>
  </r>
  <r>
    <s v="TX500331"/>
    <x v="3"/>
    <n v="3"/>
    <n v="93.3"/>
    <n v="279.89999999999998"/>
    <x v="14"/>
    <x v="15"/>
    <x v="1"/>
    <x v="0"/>
    <x v="0"/>
    <x v="0"/>
    <x v="40"/>
    <n v="1"/>
    <n v="3"/>
    <x v="1"/>
  </r>
  <r>
    <s v="TX500332"/>
    <x v="2"/>
    <n v="19"/>
    <n v="158.19999999999999"/>
    <n v="3005.7999999999997"/>
    <x v="14"/>
    <x v="15"/>
    <x v="1"/>
    <x v="1"/>
    <x v="2"/>
    <x v="0"/>
    <x v="16"/>
    <n v="1"/>
    <n v="3"/>
    <x v="1"/>
  </r>
  <r>
    <s v="TX500333"/>
    <x v="2"/>
    <n v="2"/>
    <n v="74.900000000000006"/>
    <n v="149.80000000000001"/>
    <x v="14"/>
    <x v="10"/>
    <x v="0"/>
    <x v="3"/>
    <x v="0"/>
    <x v="0"/>
    <x v="6"/>
    <n v="2"/>
    <n v="3"/>
    <x v="0"/>
  </r>
  <r>
    <s v="TX500334"/>
    <x v="8"/>
    <n v="7"/>
    <n v="26"/>
    <n v="182"/>
    <x v="14"/>
    <x v="13"/>
    <x v="1"/>
    <x v="1"/>
    <x v="0"/>
    <x v="0"/>
    <x v="8"/>
    <n v="3"/>
    <n v="3"/>
    <x v="1"/>
  </r>
  <r>
    <s v="TX500335"/>
    <x v="9"/>
    <n v="6"/>
    <n v="37.5"/>
    <n v="225"/>
    <x v="14"/>
    <x v="15"/>
    <x v="1"/>
    <x v="0"/>
    <x v="1"/>
    <x v="0"/>
    <x v="8"/>
    <n v="1"/>
    <n v="3"/>
    <x v="1"/>
  </r>
  <r>
    <s v="TX500336"/>
    <x v="6"/>
    <n v="2"/>
    <n v="75.8"/>
    <n v="151.6"/>
    <x v="14"/>
    <x v="20"/>
    <x v="0"/>
    <x v="0"/>
    <x v="0"/>
    <x v="0"/>
    <x v="8"/>
    <n v="6"/>
    <n v="3"/>
    <x v="0"/>
  </r>
  <r>
    <s v="TX500337"/>
    <x v="7"/>
    <n v="1"/>
    <n v="48.5"/>
    <n v="48.5"/>
    <x v="14"/>
    <x v="22"/>
    <x v="2"/>
    <x v="4"/>
    <x v="2"/>
    <x v="0"/>
    <x v="8"/>
    <n v="12"/>
    <n v="3"/>
    <x v="2"/>
  </r>
  <r>
    <s v="TX500338"/>
    <x v="6"/>
    <n v="3"/>
    <n v="98.9"/>
    <n v="296.70000000000005"/>
    <x v="14"/>
    <x v="10"/>
    <x v="1"/>
    <x v="4"/>
    <x v="1"/>
    <x v="0"/>
    <x v="8"/>
    <n v="2"/>
    <n v="3"/>
    <x v="1"/>
  </r>
  <r>
    <s v="TX500339"/>
    <x v="1"/>
    <n v="12"/>
    <n v="50.9"/>
    <n v="610.79999999999995"/>
    <x v="14"/>
    <x v="11"/>
    <x v="0"/>
    <x v="4"/>
    <x v="0"/>
    <x v="0"/>
    <x v="8"/>
    <n v="0"/>
    <n v="3"/>
    <x v="0"/>
  </r>
  <r>
    <s v="TX500340"/>
    <x v="12"/>
    <n v="6"/>
    <n v="84.7"/>
    <n v="508.20000000000005"/>
    <x v="14"/>
    <x v="11"/>
    <x v="1"/>
    <x v="2"/>
    <x v="0"/>
    <x v="0"/>
    <x v="8"/>
    <n v="0"/>
    <n v="3"/>
    <x v="1"/>
  </r>
  <r>
    <s v="TX500341"/>
    <x v="8"/>
    <n v="1"/>
    <n v="20.7"/>
    <n v="20.7"/>
    <x v="14"/>
    <x v="10"/>
    <x v="1"/>
    <x v="3"/>
    <x v="2"/>
    <x v="0"/>
    <x v="8"/>
    <n v="2"/>
    <n v="3"/>
    <x v="1"/>
  </r>
  <r>
    <s v="TX500342"/>
    <x v="12"/>
    <n v="9"/>
    <n v="57.8"/>
    <n v="520.19999999999993"/>
    <x v="14"/>
    <x v="19"/>
    <x v="0"/>
    <x v="0"/>
    <x v="4"/>
    <x v="0"/>
    <x v="17"/>
    <n v="11"/>
    <n v="3"/>
    <x v="0"/>
  </r>
  <r>
    <s v="TX500343"/>
    <x v="2"/>
    <n v="2"/>
    <n v="106.9"/>
    <n v="213.8"/>
    <x v="14"/>
    <x v="10"/>
    <x v="1"/>
    <x v="0"/>
    <x v="2"/>
    <x v="0"/>
    <x v="41"/>
    <n v="2"/>
    <n v="3"/>
    <x v="1"/>
  </r>
  <r>
    <s v="TX500344"/>
    <x v="3"/>
    <n v="5"/>
    <n v="45.2"/>
    <n v="226"/>
    <x v="14"/>
    <x v="18"/>
    <x v="1"/>
    <x v="1"/>
    <x v="0"/>
    <x v="0"/>
    <x v="21"/>
    <n v="4"/>
    <n v="3"/>
    <x v="1"/>
  </r>
  <r>
    <s v="TX500345"/>
    <x v="8"/>
    <n v="13"/>
    <n v="34.6"/>
    <n v="449.8"/>
    <x v="14"/>
    <x v="11"/>
    <x v="1"/>
    <x v="1"/>
    <x v="1"/>
    <x v="0"/>
    <x v="21"/>
    <n v="0"/>
    <n v="3"/>
    <x v="1"/>
  </r>
  <r>
    <s v="TX500346"/>
    <x v="15"/>
    <n v="1"/>
    <n v="43.8"/>
    <n v="43.8"/>
    <x v="14"/>
    <x v="10"/>
    <x v="2"/>
    <x v="0"/>
    <x v="2"/>
    <x v="0"/>
    <x v="21"/>
    <n v="2"/>
    <n v="3"/>
    <x v="2"/>
  </r>
  <r>
    <s v="TX500347"/>
    <x v="15"/>
    <n v="1"/>
    <n v="20.399999999999999"/>
    <n v="20.399999999999999"/>
    <x v="14"/>
    <x v="10"/>
    <x v="0"/>
    <x v="4"/>
    <x v="1"/>
    <x v="0"/>
    <x v="21"/>
    <n v="2"/>
    <n v="3"/>
    <x v="0"/>
  </r>
  <r>
    <s v="TX500348"/>
    <x v="1"/>
    <n v="1"/>
    <n v="36.700000000000003"/>
    <n v="36.700000000000003"/>
    <x v="14"/>
    <x v="15"/>
    <x v="0"/>
    <x v="0"/>
    <x v="1"/>
    <x v="0"/>
    <x v="1"/>
    <n v="1"/>
    <n v="3"/>
    <x v="0"/>
  </r>
  <r>
    <s v="TX500349"/>
    <x v="8"/>
    <n v="3"/>
    <n v="27.2"/>
    <n v="81.599999999999994"/>
    <x v="14"/>
    <x v="18"/>
    <x v="0"/>
    <x v="0"/>
    <x v="2"/>
    <x v="0"/>
    <x v="1"/>
    <n v="4"/>
    <n v="3"/>
    <x v="0"/>
  </r>
  <r>
    <s v="TX500350"/>
    <x v="6"/>
    <n v="1"/>
    <n v="58.2"/>
    <n v="58.2"/>
    <x v="14"/>
    <x v="15"/>
    <x v="1"/>
    <x v="0"/>
    <x v="2"/>
    <x v="0"/>
    <x v="42"/>
    <n v="1"/>
    <n v="3"/>
    <x v="1"/>
  </r>
  <r>
    <s v="TX500351"/>
    <x v="8"/>
    <n v="3"/>
    <n v="25.6"/>
    <n v="76.800000000000011"/>
    <x v="14"/>
    <x v="15"/>
    <x v="0"/>
    <x v="4"/>
    <x v="4"/>
    <x v="0"/>
    <x v="2"/>
    <n v="1"/>
    <n v="3"/>
    <x v="0"/>
  </r>
  <r>
    <s v="TX500352"/>
    <x v="10"/>
    <n v="1"/>
    <n v="21.2"/>
    <n v="21.2"/>
    <x v="14"/>
    <x v="11"/>
    <x v="1"/>
    <x v="1"/>
    <x v="2"/>
    <x v="0"/>
    <x v="3"/>
    <n v="0"/>
    <n v="3"/>
    <x v="1"/>
  </r>
  <r>
    <s v="TX500353"/>
    <x v="6"/>
    <n v="2"/>
    <n v="48.2"/>
    <n v="96.4"/>
    <x v="14"/>
    <x v="23"/>
    <x v="1"/>
    <x v="0"/>
    <x v="2"/>
    <x v="0"/>
    <x v="3"/>
    <n v="8"/>
    <n v="3"/>
    <x v="1"/>
  </r>
  <r>
    <s v="TX500354"/>
    <x v="1"/>
    <n v="4"/>
    <n v="83.4"/>
    <n v="333.6"/>
    <x v="15"/>
    <x v="10"/>
    <x v="0"/>
    <x v="0"/>
    <x v="0"/>
    <x v="0"/>
    <x v="3"/>
    <n v="1"/>
    <n v="3"/>
    <x v="0"/>
  </r>
  <r>
    <s v="TX500355"/>
    <x v="9"/>
    <n v="3"/>
    <n v="45.3"/>
    <n v="135.89999999999998"/>
    <x v="15"/>
    <x v="24"/>
    <x v="0"/>
    <x v="2"/>
    <x v="1"/>
    <x v="0"/>
    <x v="3"/>
    <n v="6"/>
    <n v="3"/>
    <x v="0"/>
  </r>
  <r>
    <s v="TX500356"/>
    <x v="17"/>
    <n v="1"/>
    <n v="42"/>
    <n v="42"/>
    <x v="15"/>
    <x v="10"/>
    <x v="2"/>
    <x v="0"/>
    <x v="0"/>
    <x v="0"/>
    <x v="3"/>
    <n v="1"/>
    <n v="3"/>
    <x v="2"/>
  </r>
  <r>
    <s v="TX500357"/>
    <x v="0"/>
    <n v="9"/>
    <n v="21.8"/>
    <n v="196.20000000000002"/>
    <x v="15"/>
    <x v="13"/>
    <x v="1"/>
    <x v="1"/>
    <x v="0"/>
    <x v="0"/>
    <x v="3"/>
    <n v="2"/>
    <n v="3"/>
    <x v="1"/>
  </r>
  <r>
    <s v="TX500358"/>
    <x v="8"/>
    <n v="18"/>
    <n v="21.4"/>
    <n v="385.2"/>
    <x v="15"/>
    <x v="18"/>
    <x v="1"/>
    <x v="1"/>
    <x v="2"/>
    <x v="0"/>
    <x v="3"/>
    <n v="3"/>
    <n v="3"/>
    <x v="1"/>
  </r>
  <r>
    <s v="TX500359"/>
    <x v="10"/>
    <n v="3"/>
    <n v="45"/>
    <n v="135"/>
    <x v="15"/>
    <x v="15"/>
    <x v="1"/>
    <x v="1"/>
    <x v="2"/>
    <x v="0"/>
    <x v="3"/>
    <n v="0"/>
    <n v="3"/>
    <x v="1"/>
  </r>
  <r>
    <s v="TX500360"/>
    <x v="14"/>
    <n v="1"/>
    <n v="39.6"/>
    <n v="39.6"/>
    <x v="15"/>
    <x v="10"/>
    <x v="0"/>
    <x v="0"/>
    <x v="2"/>
    <x v="0"/>
    <x v="3"/>
    <n v="1"/>
    <n v="3"/>
    <x v="0"/>
  </r>
  <r>
    <s v="TX500361"/>
    <x v="12"/>
    <n v="3"/>
    <n v="79.8"/>
    <n v="239.39999999999998"/>
    <x v="15"/>
    <x v="24"/>
    <x v="1"/>
    <x v="1"/>
    <x v="4"/>
    <x v="0"/>
    <x v="3"/>
    <n v="6"/>
    <n v="3"/>
    <x v="1"/>
  </r>
  <r>
    <s v="TX500362"/>
    <x v="1"/>
    <n v="4"/>
    <n v="63.6"/>
    <n v="254.4"/>
    <x v="15"/>
    <x v="10"/>
    <x v="3"/>
    <x v="0"/>
    <x v="2"/>
    <x v="0"/>
    <x v="24"/>
    <n v="1"/>
    <n v="3"/>
    <x v="3"/>
  </r>
  <r>
    <s v="TX500363"/>
    <x v="7"/>
    <n v="10"/>
    <n v="92.7"/>
    <n v="927"/>
    <x v="15"/>
    <x v="21"/>
    <x v="0"/>
    <x v="1"/>
    <x v="2"/>
    <x v="0"/>
    <x v="6"/>
    <n v="4"/>
    <n v="3"/>
    <x v="0"/>
  </r>
  <r>
    <s v="TX500364"/>
    <x v="1"/>
    <n v="4"/>
    <n v="48.4"/>
    <n v="193.6"/>
    <x v="15"/>
    <x v="13"/>
    <x v="1"/>
    <x v="1"/>
    <x v="2"/>
    <x v="0"/>
    <x v="6"/>
    <n v="2"/>
    <n v="3"/>
    <x v="1"/>
  </r>
  <r>
    <s v="TX500365"/>
    <x v="9"/>
    <n v="8"/>
    <n v="36"/>
    <n v="288"/>
    <x v="15"/>
    <x v="18"/>
    <x v="0"/>
    <x v="2"/>
    <x v="2"/>
    <x v="0"/>
    <x v="8"/>
    <n v="3"/>
    <n v="3"/>
    <x v="0"/>
  </r>
  <r>
    <s v="TX500366"/>
    <x v="8"/>
    <n v="12"/>
    <n v="27"/>
    <n v="324"/>
    <x v="15"/>
    <x v="13"/>
    <x v="1"/>
    <x v="2"/>
    <x v="1"/>
    <x v="0"/>
    <x v="8"/>
    <n v="2"/>
    <n v="3"/>
    <x v="1"/>
  </r>
  <r>
    <s v="TX500367"/>
    <x v="2"/>
    <n v="8"/>
    <n v="53.9"/>
    <n v="431.2"/>
    <x v="15"/>
    <x v="10"/>
    <x v="2"/>
    <x v="0"/>
    <x v="0"/>
    <x v="0"/>
    <x v="8"/>
    <n v="1"/>
    <n v="3"/>
    <x v="2"/>
  </r>
  <r>
    <s v="TX500368"/>
    <x v="3"/>
    <n v="9"/>
    <n v="48.4"/>
    <n v="435.59999999999997"/>
    <x v="15"/>
    <x v="10"/>
    <x v="1"/>
    <x v="1"/>
    <x v="0"/>
    <x v="0"/>
    <x v="9"/>
    <n v="1"/>
    <n v="3"/>
    <x v="1"/>
  </r>
  <r>
    <s v="TX500369"/>
    <x v="17"/>
    <n v="2"/>
    <n v="49.9"/>
    <n v="99.8"/>
    <x v="15"/>
    <x v="20"/>
    <x v="0"/>
    <x v="4"/>
    <x v="4"/>
    <x v="0"/>
    <x v="10"/>
    <n v="5"/>
    <n v="3"/>
    <x v="0"/>
  </r>
  <r>
    <s v="TX500370"/>
    <x v="1"/>
    <n v="3"/>
    <n v="51.7"/>
    <n v="155.10000000000002"/>
    <x v="15"/>
    <x v="10"/>
    <x v="1"/>
    <x v="0"/>
    <x v="2"/>
    <x v="0"/>
    <x v="11"/>
    <n v="1"/>
    <n v="3"/>
    <x v="1"/>
  </r>
  <r>
    <s v="TX500371"/>
    <x v="8"/>
    <n v="3"/>
    <n v="41.8"/>
    <n v="125.39999999999999"/>
    <x v="15"/>
    <x v="13"/>
    <x v="1"/>
    <x v="2"/>
    <x v="0"/>
    <x v="0"/>
    <x v="18"/>
    <n v="2"/>
    <n v="3"/>
    <x v="1"/>
  </r>
  <r>
    <s v="TX500372"/>
    <x v="4"/>
    <n v="4"/>
    <n v="36.200000000000003"/>
    <n v="144.80000000000001"/>
    <x v="16"/>
    <x v="13"/>
    <x v="0"/>
    <x v="2"/>
    <x v="2"/>
    <x v="0"/>
    <x v="21"/>
    <n v="1"/>
    <n v="3"/>
    <x v="0"/>
  </r>
  <r>
    <s v="TX500373"/>
    <x v="2"/>
    <n v="1"/>
    <n v="150.9"/>
    <n v="150.9"/>
    <x v="16"/>
    <x v="22"/>
    <x v="0"/>
    <x v="0"/>
    <x v="0"/>
    <x v="0"/>
    <x v="1"/>
    <n v="10"/>
    <n v="3"/>
    <x v="0"/>
  </r>
  <r>
    <s v="TX500374"/>
    <x v="18"/>
    <n v="4"/>
    <n v="77.599999999999994"/>
    <n v="310.39999999999998"/>
    <x v="16"/>
    <x v="13"/>
    <x v="2"/>
    <x v="2"/>
    <x v="0"/>
    <x v="0"/>
    <x v="3"/>
    <n v="1"/>
    <n v="3"/>
    <x v="2"/>
  </r>
  <r>
    <s v="TX500375"/>
    <x v="13"/>
    <n v="5"/>
    <n v="65.5"/>
    <n v="327.5"/>
    <x v="16"/>
    <x v="10"/>
    <x v="0"/>
    <x v="1"/>
    <x v="0"/>
    <x v="0"/>
    <x v="3"/>
    <n v="0"/>
    <n v="3"/>
    <x v="0"/>
  </r>
  <r>
    <s v="TX500376"/>
    <x v="6"/>
    <n v="3"/>
    <n v="90.1"/>
    <n v="270.29999999999995"/>
    <x v="16"/>
    <x v="18"/>
    <x v="1"/>
    <x v="0"/>
    <x v="0"/>
    <x v="0"/>
    <x v="3"/>
    <n v="2"/>
    <n v="3"/>
    <x v="1"/>
  </r>
  <r>
    <s v="TX500377"/>
    <x v="1"/>
    <n v="2"/>
    <n v="108.3"/>
    <n v="216.6"/>
    <x v="16"/>
    <x v="21"/>
    <x v="3"/>
    <x v="4"/>
    <x v="0"/>
    <x v="0"/>
    <x v="3"/>
    <n v="3"/>
    <n v="3"/>
    <x v="3"/>
  </r>
  <r>
    <s v="TX500378"/>
    <x v="5"/>
    <n v="3"/>
    <n v="59.9"/>
    <n v="179.7"/>
    <x v="16"/>
    <x v="20"/>
    <x v="1"/>
    <x v="0"/>
    <x v="0"/>
    <x v="0"/>
    <x v="3"/>
    <n v="4"/>
    <n v="3"/>
    <x v="1"/>
  </r>
  <r>
    <s v="TX500379"/>
    <x v="2"/>
    <n v="17"/>
    <n v="139"/>
    <n v="2363"/>
    <x v="16"/>
    <x v="18"/>
    <x v="1"/>
    <x v="1"/>
    <x v="4"/>
    <x v="0"/>
    <x v="3"/>
    <n v="2"/>
    <n v="3"/>
    <x v="1"/>
  </r>
  <r>
    <s v="TX500380"/>
    <x v="6"/>
    <n v="3"/>
    <n v="87.3"/>
    <n v="261.89999999999998"/>
    <x v="16"/>
    <x v="13"/>
    <x v="1"/>
    <x v="0"/>
    <x v="0"/>
    <x v="0"/>
    <x v="3"/>
    <n v="1"/>
    <n v="3"/>
    <x v="1"/>
  </r>
  <r>
    <s v="TX500381"/>
    <x v="11"/>
    <n v="4"/>
    <n v="42.3"/>
    <n v="169.2"/>
    <x v="16"/>
    <x v="10"/>
    <x v="0"/>
    <x v="0"/>
    <x v="0"/>
    <x v="0"/>
    <x v="3"/>
    <n v="0"/>
    <n v="3"/>
    <x v="0"/>
  </r>
  <r>
    <s v="TX500382"/>
    <x v="14"/>
    <n v="8"/>
    <n v="103.6"/>
    <n v="828.8"/>
    <x v="16"/>
    <x v="13"/>
    <x v="3"/>
    <x v="0"/>
    <x v="1"/>
    <x v="0"/>
    <x v="3"/>
    <n v="1"/>
    <n v="3"/>
    <x v="3"/>
  </r>
  <r>
    <s v="TX500383"/>
    <x v="6"/>
    <n v="2"/>
    <n v="90.9"/>
    <n v="181.8"/>
    <x v="16"/>
    <x v="13"/>
    <x v="0"/>
    <x v="1"/>
    <x v="0"/>
    <x v="0"/>
    <x v="6"/>
    <n v="1"/>
    <n v="3"/>
    <x v="0"/>
  </r>
  <r>
    <s v="TX500384"/>
    <x v="9"/>
    <n v="16"/>
    <n v="100.9"/>
    <n v="1614.4"/>
    <x v="16"/>
    <x v="13"/>
    <x v="1"/>
    <x v="1"/>
    <x v="0"/>
    <x v="0"/>
    <x v="6"/>
    <n v="1"/>
    <n v="3"/>
    <x v="1"/>
  </r>
  <r>
    <s v="TX500385"/>
    <x v="4"/>
    <n v="5"/>
    <n v="36"/>
    <n v="180"/>
    <x v="16"/>
    <x v="18"/>
    <x v="1"/>
    <x v="1"/>
    <x v="0"/>
    <x v="0"/>
    <x v="7"/>
    <n v="2"/>
    <n v="3"/>
    <x v="1"/>
  </r>
  <r>
    <s v="TX500386"/>
    <x v="6"/>
    <n v="6"/>
    <n v="83.3"/>
    <n v="499.79999999999995"/>
    <x v="16"/>
    <x v="21"/>
    <x v="2"/>
    <x v="2"/>
    <x v="0"/>
    <x v="0"/>
    <x v="7"/>
    <n v="3"/>
    <n v="3"/>
    <x v="2"/>
  </r>
  <r>
    <s v="TX500387"/>
    <x v="2"/>
    <n v="17"/>
    <n v="60.3"/>
    <n v="1025.0999999999999"/>
    <x v="16"/>
    <x v="13"/>
    <x v="0"/>
    <x v="2"/>
    <x v="1"/>
    <x v="0"/>
    <x v="7"/>
    <n v="1"/>
    <n v="3"/>
    <x v="0"/>
  </r>
  <r>
    <s v="TX500388"/>
    <x v="2"/>
    <n v="6"/>
    <n v="120.3"/>
    <n v="721.8"/>
    <x v="16"/>
    <x v="13"/>
    <x v="0"/>
    <x v="2"/>
    <x v="0"/>
    <x v="0"/>
    <x v="8"/>
    <n v="1"/>
    <n v="3"/>
    <x v="0"/>
  </r>
  <r>
    <s v="TX500389"/>
    <x v="4"/>
    <n v="10"/>
    <n v="34"/>
    <n v="340"/>
    <x v="16"/>
    <x v="20"/>
    <x v="1"/>
    <x v="2"/>
    <x v="0"/>
    <x v="0"/>
    <x v="8"/>
    <n v="4"/>
    <n v="3"/>
    <x v="1"/>
  </r>
  <r>
    <s v="TX500390"/>
    <x v="10"/>
    <n v="5"/>
    <n v="42.6"/>
    <n v="213"/>
    <x v="16"/>
    <x v="21"/>
    <x v="0"/>
    <x v="1"/>
    <x v="0"/>
    <x v="0"/>
    <x v="8"/>
    <n v="3"/>
    <n v="3"/>
    <x v="0"/>
  </r>
  <r>
    <s v="TX500391"/>
    <x v="5"/>
    <n v="20"/>
    <n v="47.4"/>
    <n v="948"/>
    <x v="16"/>
    <x v="10"/>
    <x v="1"/>
    <x v="2"/>
    <x v="1"/>
    <x v="0"/>
    <x v="17"/>
    <n v="0"/>
    <n v="3"/>
    <x v="1"/>
  </r>
  <r>
    <s v="TX500392"/>
    <x v="2"/>
    <n v="1"/>
    <n v="74"/>
    <n v="74"/>
    <x v="17"/>
    <x v="18"/>
    <x v="0"/>
    <x v="1"/>
    <x v="0"/>
    <x v="0"/>
    <x v="11"/>
    <n v="1"/>
    <n v="3"/>
    <x v="0"/>
  </r>
  <r>
    <s v="TX500393"/>
    <x v="2"/>
    <n v="5"/>
    <n v="60.4"/>
    <n v="302"/>
    <x v="17"/>
    <x v="20"/>
    <x v="1"/>
    <x v="1"/>
    <x v="4"/>
    <x v="0"/>
    <x v="18"/>
    <n v="3"/>
    <n v="3"/>
    <x v="1"/>
  </r>
  <r>
    <s v="TX500394"/>
    <x v="12"/>
    <n v="2"/>
    <n v="69.3"/>
    <n v="138.6"/>
    <x v="17"/>
    <x v="20"/>
    <x v="0"/>
    <x v="1"/>
    <x v="1"/>
    <x v="0"/>
    <x v="13"/>
    <n v="3"/>
    <n v="3"/>
    <x v="0"/>
  </r>
  <r>
    <s v="TX500395"/>
    <x v="5"/>
    <n v="5"/>
    <n v="81"/>
    <n v="405"/>
    <x v="17"/>
    <x v="25"/>
    <x v="0"/>
    <x v="3"/>
    <x v="0"/>
    <x v="0"/>
    <x v="21"/>
    <n v="6"/>
    <n v="3"/>
    <x v="0"/>
  </r>
  <r>
    <s v="TX500396"/>
    <x v="15"/>
    <n v="3"/>
    <n v="41.5"/>
    <n v="124.5"/>
    <x v="17"/>
    <x v="21"/>
    <x v="3"/>
    <x v="1"/>
    <x v="0"/>
    <x v="0"/>
    <x v="21"/>
    <n v="2"/>
    <n v="3"/>
    <x v="3"/>
  </r>
  <r>
    <s v="TX500397"/>
    <x v="18"/>
    <n v="2"/>
    <n v="69.7"/>
    <n v="139.4"/>
    <x v="17"/>
    <x v="23"/>
    <x v="0"/>
    <x v="1"/>
    <x v="0"/>
    <x v="0"/>
    <x v="21"/>
    <n v="5"/>
    <n v="3"/>
    <x v="0"/>
  </r>
  <r>
    <s v="TX500398"/>
    <x v="2"/>
    <n v="5"/>
    <n v="83.6"/>
    <n v="418"/>
    <x v="17"/>
    <x v="13"/>
    <x v="1"/>
    <x v="4"/>
    <x v="0"/>
    <x v="0"/>
    <x v="1"/>
    <n v="0"/>
    <n v="3"/>
    <x v="1"/>
  </r>
  <r>
    <s v="TX500399"/>
    <x v="8"/>
    <n v="7"/>
    <n v="21.5"/>
    <n v="150.5"/>
    <x v="17"/>
    <x v="21"/>
    <x v="0"/>
    <x v="1"/>
    <x v="4"/>
    <x v="0"/>
    <x v="34"/>
    <n v="2"/>
    <n v="3"/>
    <x v="0"/>
  </r>
  <r>
    <s v="TX500400"/>
    <x v="8"/>
    <n v="8"/>
    <n v="28.6"/>
    <n v="228.8"/>
    <x v="17"/>
    <x v="18"/>
    <x v="0"/>
    <x v="0"/>
    <x v="0"/>
    <x v="0"/>
    <x v="3"/>
    <n v="1"/>
    <n v="3"/>
    <x v="0"/>
  </r>
  <r>
    <s v="TX500401"/>
    <x v="8"/>
    <n v="6"/>
    <n v="18.8"/>
    <n v="112.80000000000001"/>
    <x v="17"/>
    <x v="20"/>
    <x v="0"/>
    <x v="3"/>
    <x v="2"/>
    <x v="0"/>
    <x v="3"/>
    <n v="3"/>
    <n v="3"/>
    <x v="0"/>
  </r>
  <r>
    <s v="TX500402"/>
    <x v="10"/>
    <n v="4"/>
    <n v="35.1"/>
    <n v="140.4"/>
    <x v="17"/>
    <x v="13"/>
    <x v="1"/>
    <x v="1"/>
    <x v="1"/>
    <x v="0"/>
    <x v="3"/>
    <n v="0"/>
    <n v="3"/>
    <x v="1"/>
  </r>
  <r>
    <s v="TX500403"/>
    <x v="0"/>
    <n v="2"/>
    <n v="12.7"/>
    <n v="25.4"/>
    <x v="17"/>
    <x v="21"/>
    <x v="1"/>
    <x v="1"/>
    <x v="2"/>
    <x v="0"/>
    <x v="3"/>
    <n v="2"/>
    <n v="3"/>
    <x v="1"/>
  </r>
  <r>
    <s v="TX500404"/>
    <x v="8"/>
    <n v="5"/>
    <n v="27.4"/>
    <n v="137"/>
    <x v="17"/>
    <x v="21"/>
    <x v="3"/>
    <x v="0"/>
    <x v="0"/>
    <x v="0"/>
    <x v="3"/>
    <n v="2"/>
    <n v="3"/>
    <x v="3"/>
  </r>
  <r>
    <s v="TX500405"/>
    <x v="10"/>
    <n v="2"/>
    <n v="61.3"/>
    <n v="122.6"/>
    <x v="17"/>
    <x v="18"/>
    <x v="1"/>
    <x v="1"/>
    <x v="0"/>
    <x v="0"/>
    <x v="6"/>
    <n v="1"/>
    <n v="3"/>
    <x v="1"/>
  </r>
  <r>
    <s v="TX500406"/>
    <x v="8"/>
    <n v="2"/>
    <n v="64.7"/>
    <n v="129.4"/>
    <x v="17"/>
    <x v="21"/>
    <x v="1"/>
    <x v="3"/>
    <x v="2"/>
    <x v="0"/>
    <x v="6"/>
    <n v="2"/>
    <n v="3"/>
    <x v="1"/>
  </r>
  <r>
    <s v="TX500407"/>
    <x v="7"/>
    <n v="4"/>
    <n v="91.4"/>
    <n v="365.6"/>
    <x v="17"/>
    <x v="21"/>
    <x v="1"/>
    <x v="0"/>
    <x v="0"/>
    <x v="0"/>
    <x v="8"/>
    <n v="2"/>
    <n v="3"/>
    <x v="1"/>
  </r>
  <r>
    <s v="TX500408"/>
    <x v="0"/>
    <n v="2"/>
    <n v="33.1"/>
    <n v="66.2"/>
    <x v="18"/>
    <x v="21"/>
    <x v="0"/>
    <x v="0"/>
    <x v="2"/>
    <x v="0"/>
    <x v="8"/>
    <n v="1"/>
    <n v="4"/>
    <x v="0"/>
  </r>
  <r>
    <s v="TX500409"/>
    <x v="3"/>
    <n v="2"/>
    <n v="105.6"/>
    <n v="211.2"/>
    <x v="18"/>
    <x v="21"/>
    <x v="0"/>
    <x v="2"/>
    <x v="1"/>
    <x v="0"/>
    <x v="8"/>
    <n v="1"/>
    <n v="4"/>
    <x v="0"/>
  </r>
  <r>
    <s v="TX500410"/>
    <x v="10"/>
    <n v="3"/>
    <n v="46.4"/>
    <n v="139.19999999999999"/>
    <x v="18"/>
    <x v="21"/>
    <x v="0"/>
    <x v="2"/>
    <x v="0"/>
    <x v="0"/>
    <x v="9"/>
    <n v="1"/>
    <n v="4"/>
    <x v="0"/>
  </r>
  <r>
    <s v="TX500411"/>
    <x v="9"/>
    <n v="14"/>
    <n v="35.299999999999997"/>
    <n v="494.19999999999993"/>
    <x v="18"/>
    <x v="24"/>
    <x v="1"/>
    <x v="4"/>
    <x v="1"/>
    <x v="0"/>
    <x v="11"/>
    <n v="3"/>
    <n v="4"/>
    <x v="1"/>
  </r>
  <r>
    <s v="TX500412"/>
    <x v="0"/>
    <n v="2"/>
    <n v="16.100000000000001"/>
    <n v="32.200000000000003"/>
    <x v="18"/>
    <x v="20"/>
    <x v="0"/>
    <x v="3"/>
    <x v="2"/>
    <x v="0"/>
    <x v="32"/>
    <n v="2"/>
    <n v="4"/>
    <x v="0"/>
  </r>
  <r>
    <s v="TX500413"/>
    <x v="4"/>
    <n v="2"/>
    <n v="27.9"/>
    <n v="55.8"/>
    <x v="18"/>
    <x v="24"/>
    <x v="0"/>
    <x v="0"/>
    <x v="0"/>
    <x v="0"/>
    <x v="13"/>
    <n v="3"/>
    <n v="4"/>
    <x v="0"/>
  </r>
  <r>
    <s v="TX500414"/>
    <x v="8"/>
    <n v="1"/>
    <n v="47.1"/>
    <n v="47.1"/>
    <x v="18"/>
    <x v="22"/>
    <x v="1"/>
    <x v="1"/>
    <x v="0"/>
    <x v="0"/>
    <x v="2"/>
    <n v="8"/>
    <n v="4"/>
    <x v="1"/>
  </r>
  <r>
    <s v="TX500415"/>
    <x v="6"/>
    <n v="2"/>
    <n v="85"/>
    <n v="170"/>
    <x v="18"/>
    <x v="24"/>
    <x v="2"/>
    <x v="2"/>
    <x v="2"/>
    <x v="0"/>
    <x v="22"/>
    <n v="3"/>
    <n v="4"/>
    <x v="2"/>
  </r>
  <r>
    <s v="TX500416"/>
    <x v="18"/>
    <n v="2"/>
    <n v="89"/>
    <n v="178"/>
    <x v="18"/>
    <x v="20"/>
    <x v="1"/>
    <x v="0"/>
    <x v="0"/>
    <x v="0"/>
    <x v="3"/>
    <n v="2"/>
    <n v="4"/>
    <x v="1"/>
  </r>
  <r>
    <s v="TX500417"/>
    <x v="16"/>
    <n v="3"/>
    <n v="36.6"/>
    <n v="109.80000000000001"/>
    <x v="18"/>
    <x v="21"/>
    <x v="3"/>
    <x v="3"/>
    <x v="2"/>
    <x v="0"/>
    <x v="3"/>
    <n v="1"/>
    <n v="4"/>
    <x v="3"/>
  </r>
  <r>
    <s v="TX500418"/>
    <x v="6"/>
    <n v="7"/>
    <n v="43.5"/>
    <n v="304.5"/>
    <x v="18"/>
    <x v="21"/>
    <x v="0"/>
    <x v="1"/>
    <x v="2"/>
    <x v="0"/>
    <x v="3"/>
    <n v="1"/>
    <n v="4"/>
    <x v="0"/>
  </r>
  <r>
    <s v="TX500419"/>
    <x v="9"/>
    <n v="19"/>
    <n v="30.5"/>
    <n v="579.5"/>
    <x v="18"/>
    <x v="18"/>
    <x v="1"/>
    <x v="3"/>
    <x v="0"/>
    <x v="0"/>
    <x v="3"/>
    <n v="0"/>
    <n v="4"/>
    <x v="1"/>
  </r>
  <r>
    <s v="TX500420"/>
    <x v="1"/>
    <n v="2"/>
    <n v="107.7"/>
    <n v="215.4"/>
    <x v="18"/>
    <x v="23"/>
    <x v="0"/>
    <x v="3"/>
    <x v="4"/>
    <x v="0"/>
    <x v="3"/>
    <n v="4"/>
    <n v="4"/>
    <x v="0"/>
  </r>
  <r>
    <s v="TX500421"/>
    <x v="17"/>
    <n v="26"/>
    <n v="57.1"/>
    <n v="1484.6000000000001"/>
    <x v="18"/>
    <x v="21"/>
    <x v="0"/>
    <x v="1"/>
    <x v="0"/>
    <x v="0"/>
    <x v="3"/>
    <n v="1"/>
    <n v="4"/>
    <x v="0"/>
  </r>
  <r>
    <s v="TX500422"/>
    <x v="2"/>
    <n v="10"/>
    <n v="111.7"/>
    <n v="1117"/>
    <x v="18"/>
    <x v="21"/>
    <x v="1"/>
    <x v="4"/>
    <x v="2"/>
    <x v="0"/>
    <x v="3"/>
    <n v="1"/>
    <n v="4"/>
    <x v="1"/>
  </r>
  <r>
    <s v="TX500423"/>
    <x v="18"/>
    <n v="7"/>
    <n v="44.3"/>
    <n v="310.09999999999997"/>
    <x v="18"/>
    <x v="24"/>
    <x v="0"/>
    <x v="3"/>
    <x v="2"/>
    <x v="0"/>
    <x v="3"/>
    <n v="3"/>
    <n v="4"/>
    <x v="0"/>
  </r>
  <r>
    <s v="TX500424"/>
    <x v="2"/>
    <n v="8"/>
    <n v="95.8"/>
    <n v="766.4"/>
    <x v="18"/>
    <x v="17"/>
    <x v="3"/>
    <x v="0"/>
    <x v="0"/>
    <x v="0"/>
    <x v="3"/>
    <n v="6"/>
    <n v="4"/>
    <x v="3"/>
  </r>
  <r>
    <s v="TX500425"/>
    <x v="10"/>
    <n v="7"/>
    <n v="22.6"/>
    <n v="158.20000000000002"/>
    <x v="18"/>
    <x v="24"/>
    <x v="1"/>
    <x v="3"/>
    <x v="1"/>
    <x v="0"/>
    <x v="3"/>
    <n v="3"/>
    <n v="4"/>
    <x v="1"/>
  </r>
  <r>
    <s v="TX500426"/>
    <x v="8"/>
    <n v="8"/>
    <n v="25.6"/>
    <n v="204.8"/>
    <x v="18"/>
    <x v="20"/>
    <x v="1"/>
    <x v="4"/>
    <x v="0"/>
    <x v="0"/>
    <x v="3"/>
    <n v="2"/>
    <n v="4"/>
    <x v="1"/>
  </r>
  <r>
    <s v="TX500427"/>
    <x v="6"/>
    <n v="16"/>
    <n v="54.3"/>
    <n v="868.8"/>
    <x v="18"/>
    <x v="24"/>
    <x v="1"/>
    <x v="4"/>
    <x v="0"/>
    <x v="0"/>
    <x v="3"/>
    <n v="3"/>
    <n v="4"/>
    <x v="1"/>
  </r>
  <r>
    <s v="TX500428"/>
    <x v="18"/>
    <n v="13"/>
    <n v="51.3"/>
    <n v="666.9"/>
    <x v="18"/>
    <x v="20"/>
    <x v="0"/>
    <x v="0"/>
    <x v="2"/>
    <x v="0"/>
    <x v="3"/>
    <n v="2"/>
    <n v="4"/>
    <x v="0"/>
  </r>
  <r>
    <s v="TX500429"/>
    <x v="0"/>
    <n v="8"/>
    <n v="25.6"/>
    <n v="204.8"/>
    <x v="18"/>
    <x v="21"/>
    <x v="1"/>
    <x v="1"/>
    <x v="1"/>
    <x v="0"/>
    <x v="3"/>
    <n v="1"/>
    <n v="4"/>
    <x v="1"/>
  </r>
  <r>
    <s v="TX500430"/>
    <x v="0"/>
    <n v="2"/>
    <n v="15.6"/>
    <n v="31.2"/>
    <x v="18"/>
    <x v="21"/>
    <x v="1"/>
    <x v="2"/>
    <x v="2"/>
    <x v="0"/>
    <x v="3"/>
    <n v="1"/>
    <n v="4"/>
    <x v="1"/>
  </r>
  <r>
    <s v="TX500431"/>
    <x v="8"/>
    <n v="3"/>
    <n v="30.3"/>
    <n v="90.9"/>
    <x v="18"/>
    <x v="23"/>
    <x v="1"/>
    <x v="0"/>
    <x v="1"/>
    <x v="0"/>
    <x v="3"/>
    <n v="4"/>
    <n v="4"/>
    <x v="1"/>
  </r>
  <r>
    <s v="TX500432"/>
    <x v="12"/>
    <n v="2"/>
    <n v="30.3"/>
    <n v="60.6"/>
    <x v="18"/>
    <x v="25"/>
    <x v="1"/>
    <x v="0"/>
    <x v="2"/>
    <x v="0"/>
    <x v="37"/>
    <n v="5"/>
    <n v="4"/>
    <x v="1"/>
  </r>
  <r>
    <s v="TX500433"/>
    <x v="10"/>
    <n v="3"/>
    <n v="53"/>
    <n v="159"/>
    <x v="18"/>
    <x v="19"/>
    <x v="1"/>
    <x v="2"/>
    <x v="0"/>
    <x v="0"/>
    <x v="24"/>
    <n v="7"/>
    <n v="4"/>
    <x v="1"/>
  </r>
  <r>
    <s v="TX500434"/>
    <x v="5"/>
    <n v="18"/>
    <n v="59.9"/>
    <n v="1078.2"/>
    <x v="18"/>
    <x v="24"/>
    <x v="0"/>
    <x v="2"/>
    <x v="4"/>
    <x v="0"/>
    <x v="25"/>
    <n v="3"/>
    <n v="4"/>
    <x v="0"/>
  </r>
  <r>
    <s v="TX500435"/>
    <x v="9"/>
    <n v="2"/>
    <n v="45.7"/>
    <n v="91.4"/>
    <x v="18"/>
    <x v="21"/>
    <x v="1"/>
    <x v="1"/>
    <x v="2"/>
    <x v="0"/>
    <x v="6"/>
    <n v="1"/>
    <n v="4"/>
    <x v="1"/>
  </r>
  <r>
    <s v="TX500436"/>
    <x v="8"/>
    <n v="4"/>
    <n v="46.1"/>
    <n v="184.4"/>
    <x v="18"/>
    <x v="21"/>
    <x v="0"/>
    <x v="0"/>
    <x v="0"/>
    <x v="0"/>
    <x v="6"/>
    <n v="1"/>
    <n v="4"/>
    <x v="0"/>
  </r>
  <r>
    <s v="TX500437"/>
    <x v="8"/>
    <n v="3"/>
    <n v="17.5"/>
    <n v="52.5"/>
    <x v="18"/>
    <x v="21"/>
    <x v="1"/>
    <x v="0"/>
    <x v="2"/>
    <x v="0"/>
    <x v="8"/>
    <n v="1"/>
    <n v="4"/>
    <x v="1"/>
  </r>
  <r>
    <s v="TX500438"/>
    <x v="10"/>
    <n v="3"/>
    <n v="36.5"/>
    <n v="109.5"/>
    <x v="18"/>
    <x v="26"/>
    <x v="0"/>
    <x v="2"/>
    <x v="0"/>
    <x v="0"/>
    <x v="8"/>
    <n v="11"/>
    <n v="4"/>
    <x v="0"/>
  </r>
  <r>
    <s v="TX500439"/>
    <x v="8"/>
    <n v="2"/>
    <n v="47.5"/>
    <n v="95"/>
    <x v="19"/>
    <x v="24"/>
    <x v="1"/>
    <x v="1"/>
    <x v="0"/>
    <x v="0"/>
    <x v="8"/>
    <n v="2"/>
    <n v="4"/>
    <x v="1"/>
  </r>
  <r>
    <s v="TX500440"/>
    <x v="6"/>
    <n v="5"/>
    <n v="45.6"/>
    <n v="228"/>
    <x v="19"/>
    <x v="24"/>
    <x v="1"/>
    <x v="0"/>
    <x v="2"/>
    <x v="0"/>
    <x v="8"/>
    <n v="2"/>
    <n v="4"/>
    <x v="1"/>
  </r>
  <r>
    <s v="TX500441"/>
    <x v="9"/>
    <n v="2"/>
    <n v="50.5"/>
    <n v="101"/>
    <x v="19"/>
    <x v="24"/>
    <x v="0"/>
    <x v="0"/>
    <x v="1"/>
    <x v="0"/>
    <x v="17"/>
    <n v="2"/>
    <n v="4"/>
    <x v="0"/>
  </r>
  <r>
    <s v="TX500442"/>
    <x v="2"/>
    <n v="10"/>
    <n v="99.8"/>
    <n v="998"/>
    <x v="19"/>
    <x v="23"/>
    <x v="1"/>
    <x v="2"/>
    <x v="1"/>
    <x v="0"/>
    <x v="17"/>
    <n v="3"/>
    <n v="4"/>
    <x v="1"/>
  </r>
  <r>
    <s v="TX500443"/>
    <x v="8"/>
    <n v="15"/>
    <n v="19.2"/>
    <n v="288"/>
    <x v="19"/>
    <x v="24"/>
    <x v="3"/>
    <x v="4"/>
    <x v="1"/>
    <x v="0"/>
    <x v="26"/>
    <n v="2"/>
    <n v="4"/>
    <x v="3"/>
  </r>
  <r>
    <s v="TX500444"/>
    <x v="17"/>
    <n v="3"/>
    <n v="22.6"/>
    <n v="67.800000000000011"/>
    <x v="19"/>
    <x v="20"/>
    <x v="0"/>
    <x v="1"/>
    <x v="0"/>
    <x v="0"/>
    <x v="11"/>
    <n v="1"/>
    <n v="4"/>
    <x v="0"/>
  </r>
  <r>
    <s v="TX500445"/>
    <x v="1"/>
    <n v="15"/>
    <n v="126.9"/>
    <n v="1903.5"/>
    <x v="19"/>
    <x v="24"/>
    <x v="1"/>
    <x v="0"/>
    <x v="2"/>
    <x v="0"/>
    <x v="11"/>
    <n v="2"/>
    <n v="4"/>
    <x v="1"/>
  </r>
  <r>
    <s v="TX500446"/>
    <x v="2"/>
    <n v="2"/>
    <n v="100.3"/>
    <n v="200.6"/>
    <x v="19"/>
    <x v="20"/>
    <x v="1"/>
    <x v="0"/>
    <x v="1"/>
    <x v="0"/>
    <x v="11"/>
    <n v="1"/>
    <n v="4"/>
    <x v="1"/>
  </r>
  <r>
    <s v="TX500447"/>
    <x v="4"/>
    <n v="18"/>
    <n v="24.6"/>
    <n v="442.8"/>
    <x v="19"/>
    <x v="20"/>
    <x v="1"/>
    <x v="4"/>
    <x v="0"/>
    <x v="0"/>
    <x v="13"/>
    <n v="1"/>
    <n v="4"/>
    <x v="1"/>
  </r>
  <r>
    <s v="TX500448"/>
    <x v="6"/>
    <n v="2"/>
    <n v="47.3"/>
    <n v="94.6"/>
    <x v="19"/>
    <x v="20"/>
    <x v="0"/>
    <x v="1"/>
    <x v="2"/>
    <x v="0"/>
    <x v="13"/>
    <n v="1"/>
    <n v="4"/>
    <x v="0"/>
  </r>
  <r>
    <s v="TX500449"/>
    <x v="6"/>
    <n v="7"/>
    <n v="40.799999999999997"/>
    <n v="285.59999999999997"/>
    <x v="19"/>
    <x v="23"/>
    <x v="1"/>
    <x v="2"/>
    <x v="2"/>
    <x v="0"/>
    <x v="21"/>
    <n v="3"/>
    <n v="4"/>
    <x v="1"/>
  </r>
  <r>
    <s v="TX500450"/>
    <x v="8"/>
    <n v="8"/>
    <n v="49.2"/>
    <n v="393.6"/>
    <x v="19"/>
    <x v="24"/>
    <x v="1"/>
    <x v="0"/>
    <x v="0"/>
    <x v="0"/>
    <x v="1"/>
    <n v="2"/>
    <n v="4"/>
    <x v="1"/>
  </r>
  <r>
    <s v="TX500451"/>
    <x v="8"/>
    <n v="1"/>
    <n v="28.5"/>
    <n v="28.5"/>
    <x v="19"/>
    <x v="24"/>
    <x v="2"/>
    <x v="2"/>
    <x v="1"/>
    <x v="0"/>
    <x v="3"/>
    <n v="2"/>
    <n v="4"/>
    <x v="2"/>
  </r>
  <r>
    <s v="TX500452"/>
    <x v="18"/>
    <n v="2"/>
    <n v="36.799999999999997"/>
    <n v="73.599999999999994"/>
    <x v="19"/>
    <x v="19"/>
    <x v="1"/>
    <x v="0"/>
    <x v="2"/>
    <x v="0"/>
    <x v="3"/>
    <n v="6"/>
    <n v="4"/>
    <x v="1"/>
  </r>
  <r>
    <s v="TX500453"/>
    <x v="7"/>
    <n v="3"/>
    <n v="33.5"/>
    <n v="100.5"/>
    <x v="19"/>
    <x v="20"/>
    <x v="1"/>
    <x v="0"/>
    <x v="1"/>
    <x v="0"/>
    <x v="3"/>
    <n v="1"/>
    <n v="4"/>
    <x v="1"/>
  </r>
  <r>
    <s v="TX500454"/>
    <x v="6"/>
    <n v="6"/>
    <n v="62.5"/>
    <n v="375"/>
    <x v="19"/>
    <x v="24"/>
    <x v="1"/>
    <x v="0"/>
    <x v="0"/>
    <x v="0"/>
    <x v="3"/>
    <n v="2"/>
    <n v="4"/>
    <x v="1"/>
  </r>
  <r>
    <s v="TX500455"/>
    <x v="8"/>
    <n v="40"/>
    <n v="47.9"/>
    <n v="1916"/>
    <x v="19"/>
    <x v="20"/>
    <x v="1"/>
    <x v="3"/>
    <x v="0"/>
    <x v="0"/>
    <x v="3"/>
    <n v="1"/>
    <n v="4"/>
    <x v="1"/>
  </r>
  <r>
    <s v="TX500456"/>
    <x v="6"/>
    <n v="6"/>
    <n v="92.9"/>
    <n v="557.40000000000009"/>
    <x v="19"/>
    <x v="27"/>
    <x v="1"/>
    <x v="0"/>
    <x v="4"/>
    <x v="0"/>
    <x v="3"/>
    <n v="11"/>
    <n v="4"/>
    <x v="1"/>
  </r>
  <r>
    <s v="TX500457"/>
    <x v="12"/>
    <n v="3"/>
    <n v="44.1"/>
    <n v="132.30000000000001"/>
    <x v="19"/>
    <x v="21"/>
    <x v="1"/>
    <x v="1"/>
    <x v="1"/>
    <x v="0"/>
    <x v="43"/>
    <n v="0"/>
    <n v="4"/>
    <x v="1"/>
  </r>
  <r>
    <s v="TX500458"/>
    <x v="0"/>
    <n v="1"/>
    <n v="11.4"/>
    <n v="11.4"/>
    <x v="20"/>
    <x v="23"/>
    <x v="1"/>
    <x v="2"/>
    <x v="0"/>
    <x v="0"/>
    <x v="5"/>
    <n v="2"/>
    <n v="4"/>
    <x v="1"/>
  </r>
  <r>
    <s v="TX500459"/>
    <x v="6"/>
    <n v="1"/>
    <n v="83.7"/>
    <n v="83.7"/>
    <x v="20"/>
    <x v="23"/>
    <x v="1"/>
    <x v="0"/>
    <x v="2"/>
    <x v="0"/>
    <x v="6"/>
    <n v="2"/>
    <n v="4"/>
    <x v="1"/>
  </r>
  <r>
    <s v="TX500460"/>
    <x v="10"/>
    <n v="2"/>
    <n v="23.2"/>
    <n v="46.4"/>
    <x v="20"/>
    <x v="24"/>
    <x v="0"/>
    <x v="2"/>
    <x v="0"/>
    <x v="0"/>
    <x v="8"/>
    <n v="1"/>
    <n v="4"/>
    <x v="0"/>
  </r>
  <r>
    <s v="TX500461"/>
    <x v="2"/>
    <n v="1"/>
    <n v="162.1"/>
    <n v="162.1"/>
    <x v="20"/>
    <x v="25"/>
    <x v="1"/>
    <x v="0"/>
    <x v="2"/>
    <x v="0"/>
    <x v="9"/>
    <n v="3"/>
    <n v="4"/>
    <x v="1"/>
  </r>
  <r>
    <s v="TX500462"/>
    <x v="6"/>
    <n v="4"/>
    <n v="49.2"/>
    <n v="196.8"/>
    <x v="20"/>
    <x v="17"/>
    <x v="0"/>
    <x v="1"/>
    <x v="0"/>
    <x v="0"/>
    <x v="9"/>
    <n v="4"/>
    <n v="4"/>
    <x v="0"/>
  </r>
  <r>
    <s v="TX500463"/>
    <x v="1"/>
    <n v="2"/>
    <n v="61"/>
    <n v="122"/>
    <x v="20"/>
    <x v="24"/>
    <x v="0"/>
    <x v="3"/>
    <x v="0"/>
    <x v="0"/>
    <x v="10"/>
    <n v="1"/>
    <n v="4"/>
    <x v="0"/>
  </r>
  <r>
    <s v="TX500464"/>
    <x v="2"/>
    <n v="10"/>
    <n v="53.1"/>
    <n v="531"/>
    <x v="20"/>
    <x v="23"/>
    <x v="0"/>
    <x v="0"/>
    <x v="0"/>
    <x v="0"/>
    <x v="11"/>
    <n v="2"/>
    <n v="4"/>
    <x v="0"/>
  </r>
  <r>
    <s v="TX500465"/>
    <x v="4"/>
    <n v="2"/>
    <n v="22.4"/>
    <n v="44.8"/>
    <x v="20"/>
    <x v="23"/>
    <x v="2"/>
    <x v="1"/>
    <x v="2"/>
    <x v="0"/>
    <x v="13"/>
    <n v="2"/>
    <n v="4"/>
    <x v="2"/>
  </r>
  <r>
    <s v="TX500466"/>
    <x v="1"/>
    <n v="5"/>
    <n v="75.3"/>
    <n v="376.5"/>
    <x v="20"/>
    <x v="24"/>
    <x v="0"/>
    <x v="0"/>
    <x v="0"/>
    <x v="0"/>
    <x v="21"/>
    <n v="1"/>
    <n v="4"/>
    <x v="0"/>
  </r>
  <r>
    <s v="TX500467"/>
    <x v="6"/>
    <n v="1"/>
    <n v="48.5"/>
    <n v="48.5"/>
    <x v="20"/>
    <x v="24"/>
    <x v="1"/>
    <x v="0"/>
    <x v="1"/>
    <x v="0"/>
    <x v="21"/>
    <n v="1"/>
    <n v="4"/>
    <x v="1"/>
  </r>
  <r>
    <s v="TX500468"/>
    <x v="6"/>
    <n v="1"/>
    <n v="42.6"/>
    <n v="42.6"/>
    <x v="20"/>
    <x v="17"/>
    <x v="1"/>
    <x v="3"/>
    <x v="0"/>
    <x v="0"/>
    <x v="1"/>
    <n v="4"/>
    <n v="4"/>
    <x v="1"/>
  </r>
  <r>
    <s v="TX500469"/>
    <x v="5"/>
    <n v="5"/>
    <n v="49"/>
    <n v="245"/>
    <x v="20"/>
    <x v="24"/>
    <x v="0"/>
    <x v="0"/>
    <x v="0"/>
    <x v="0"/>
    <x v="22"/>
    <n v="1"/>
    <n v="4"/>
    <x v="0"/>
  </r>
  <r>
    <s v="TX500470"/>
    <x v="8"/>
    <n v="3"/>
    <n v="31.3"/>
    <n v="93.9"/>
    <x v="20"/>
    <x v="24"/>
    <x v="0"/>
    <x v="2"/>
    <x v="1"/>
    <x v="0"/>
    <x v="3"/>
    <n v="1"/>
    <n v="4"/>
    <x v="0"/>
  </r>
  <r>
    <s v="TX500471"/>
    <x v="2"/>
    <n v="2"/>
    <n v="85.4"/>
    <n v="170.8"/>
    <x v="20"/>
    <x v="24"/>
    <x v="1"/>
    <x v="2"/>
    <x v="0"/>
    <x v="0"/>
    <x v="3"/>
    <n v="1"/>
    <n v="4"/>
    <x v="1"/>
  </r>
  <r>
    <s v="TX500472"/>
    <x v="8"/>
    <n v="4"/>
    <n v="40"/>
    <n v="160"/>
    <x v="20"/>
    <x v="24"/>
    <x v="3"/>
    <x v="0"/>
    <x v="2"/>
    <x v="0"/>
    <x v="3"/>
    <n v="1"/>
    <n v="4"/>
    <x v="3"/>
  </r>
  <r>
    <s v="TX500473"/>
    <x v="5"/>
    <n v="2"/>
    <n v="38.5"/>
    <n v="77"/>
    <x v="20"/>
    <x v="25"/>
    <x v="0"/>
    <x v="1"/>
    <x v="2"/>
    <x v="0"/>
    <x v="3"/>
    <n v="3"/>
    <n v="4"/>
    <x v="0"/>
  </r>
  <r>
    <s v="TX500474"/>
    <x v="2"/>
    <n v="2"/>
    <n v="57.8"/>
    <n v="115.6"/>
    <x v="20"/>
    <x v="24"/>
    <x v="2"/>
    <x v="0"/>
    <x v="0"/>
    <x v="0"/>
    <x v="3"/>
    <n v="1"/>
    <n v="4"/>
    <x v="2"/>
  </r>
  <r>
    <s v="TX500475"/>
    <x v="8"/>
    <n v="1"/>
    <n v="19.2"/>
    <n v="19.2"/>
    <x v="20"/>
    <x v="24"/>
    <x v="1"/>
    <x v="0"/>
    <x v="4"/>
    <x v="0"/>
    <x v="3"/>
    <n v="1"/>
    <n v="4"/>
    <x v="1"/>
  </r>
  <r>
    <s v="TX500476"/>
    <x v="6"/>
    <n v="6"/>
    <n v="114.8"/>
    <n v="688.8"/>
    <x v="20"/>
    <x v="25"/>
    <x v="0"/>
    <x v="1"/>
    <x v="1"/>
    <x v="0"/>
    <x v="3"/>
    <n v="3"/>
    <n v="4"/>
    <x v="0"/>
  </r>
  <r>
    <s v="TX500477"/>
    <x v="10"/>
    <n v="7"/>
    <n v="48.4"/>
    <n v="338.8"/>
    <x v="20"/>
    <x v="25"/>
    <x v="1"/>
    <x v="3"/>
    <x v="1"/>
    <x v="0"/>
    <x v="3"/>
    <n v="3"/>
    <n v="4"/>
    <x v="1"/>
  </r>
  <r>
    <s v="TX500478"/>
    <x v="9"/>
    <n v="5"/>
    <n v="73.2"/>
    <n v="366"/>
    <x v="20"/>
    <x v="24"/>
    <x v="1"/>
    <x v="1"/>
    <x v="4"/>
    <x v="0"/>
    <x v="3"/>
    <n v="1"/>
    <n v="4"/>
    <x v="1"/>
  </r>
  <r>
    <s v="TX500479"/>
    <x v="15"/>
    <n v="2"/>
    <n v="48.6"/>
    <n v="97.2"/>
    <x v="20"/>
    <x v="17"/>
    <x v="1"/>
    <x v="3"/>
    <x v="0"/>
    <x v="0"/>
    <x v="3"/>
    <n v="4"/>
    <n v="4"/>
    <x v="1"/>
  </r>
  <r>
    <s v="TX500480"/>
    <x v="0"/>
    <n v="6"/>
    <n v="48.7"/>
    <n v="292.20000000000005"/>
    <x v="20"/>
    <x v="24"/>
    <x v="0"/>
    <x v="0"/>
    <x v="0"/>
    <x v="0"/>
    <x v="3"/>
    <n v="1"/>
    <n v="4"/>
    <x v="0"/>
  </r>
  <r>
    <s v="TX500481"/>
    <x v="4"/>
    <n v="2"/>
    <n v="32.200000000000003"/>
    <n v="64.400000000000006"/>
    <x v="20"/>
    <x v="25"/>
    <x v="0"/>
    <x v="2"/>
    <x v="2"/>
    <x v="0"/>
    <x v="3"/>
    <n v="3"/>
    <n v="4"/>
    <x v="0"/>
  </r>
  <r>
    <s v="TX500482"/>
    <x v="15"/>
    <n v="8"/>
    <n v="25.8"/>
    <n v="206.4"/>
    <x v="20"/>
    <x v="24"/>
    <x v="0"/>
    <x v="0"/>
    <x v="0"/>
    <x v="0"/>
    <x v="37"/>
    <n v="1"/>
    <n v="4"/>
    <x v="0"/>
  </r>
  <r>
    <s v="TX500483"/>
    <x v="6"/>
    <n v="2"/>
    <n v="94.8"/>
    <n v="189.6"/>
    <x v="21"/>
    <x v="17"/>
    <x v="1"/>
    <x v="1"/>
    <x v="1"/>
    <x v="0"/>
    <x v="25"/>
    <n v="3"/>
    <n v="4"/>
    <x v="1"/>
  </r>
  <r>
    <s v="TX500484"/>
    <x v="15"/>
    <n v="25"/>
    <n v="56.8"/>
    <n v="1420"/>
    <x v="21"/>
    <x v="17"/>
    <x v="0"/>
    <x v="0"/>
    <x v="0"/>
    <x v="0"/>
    <x v="25"/>
    <n v="3"/>
    <n v="4"/>
    <x v="0"/>
  </r>
  <r>
    <s v="TX500485"/>
    <x v="8"/>
    <n v="16"/>
    <n v="18.3"/>
    <n v="292.8"/>
    <x v="21"/>
    <x v="28"/>
    <x v="1"/>
    <x v="2"/>
    <x v="2"/>
    <x v="0"/>
    <x v="23"/>
    <n v="7"/>
    <n v="4"/>
    <x v="1"/>
  </r>
  <r>
    <s v="TX500486"/>
    <x v="0"/>
    <n v="3"/>
    <n v="16.8"/>
    <n v="50.400000000000006"/>
    <x v="21"/>
    <x v="22"/>
    <x v="1"/>
    <x v="2"/>
    <x v="2"/>
    <x v="0"/>
    <x v="8"/>
    <n v="5"/>
    <n v="4"/>
    <x v="1"/>
  </r>
  <r>
    <s v="TX500487"/>
    <x v="5"/>
    <n v="11"/>
    <n v="35.799999999999997"/>
    <n v="393.79999999999995"/>
    <x v="21"/>
    <x v="23"/>
    <x v="0"/>
    <x v="1"/>
    <x v="0"/>
    <x v="0"/>
    <x v="17"/>
    <n v="1"/>
    <n v="4"/>
    <x v="0"/>
  </r>
  <r>
    <s v="TX500488"/>
    <x v="18"/>
    <n v="1"/>
    <n v="64.900000000000006"/>
    <n v="64.900000000000006"/>
    <x v="21"/>
    <x v="23"/>
    <x v="0"/>
    <x v="0"/>
    <x v="1"/>
    <x v="0"/>
    <x v="17"/>
    <n v="1"/>
    <n v="4"/>
    <x v="0"/>
  </r>
  <r>
    <s v="TX500489"/>
    <x v="18"/>
    <n v="1"/>
    <n v="28.5"/>
    <n v="28.5"/>
    <x v="21"/>
    <x v="25"/>
    <x v="2"/>
    <x v="1"/>
    <x v="0"/>
    <x v="0"/>
    <x v="9"/>
    <n v="2"/>
    <n v="4"/>
    <x v="2"/>
  </r>
  <r>
    <s v="TX500490"/>
    <x v="18"/>
    <n v="2"/>
    <n v="103.5"/>
    <n v="207"/>
    <x v="21"/>
    <x v="25"/>
    <x v="1"/>
    <x v="1"/>
    <x v="0"/>
    <x v="0"/>
    <x v="10"/>
    <n v="2"/>
    <n v="4"/>
    <x v="1"/>
  </r>
  <r>
    <s v="TX500491"/>
    <x v="4"/>
    <n v="2"/>
    <n v="41.2"/>
    <n v="82.4"/>
    <x v="21"/>
    <x v="23"/>
    <x v="1"/>
    <x v="1"/>
    <x v="0"/>
    <x v="0"/>
    <x v="10"/>
    <n v="1"/>
    <n v="4"/>
    <x v="1"/>
  </r>
  <r>
    <s v="TX500492"/>
    <x v="9"/>
    <n v="1"/>
    <n v="37.799999999999997"/>
    <n v="37.799999999999997"/>
    <x v="21"/>
    <x v="25"/>
    <x v="1"/>
    <x v="3"/>
    <x v="3"/>
    <x v="0"/>
    <x v="11"/>
    <n v="2"/>
    <n v="4"/>
    <x v="1"/>
  </r>
  <r>
    <s v="TX500493"/>
    <x v="8"/>
    <n v="2"/>
    <n v="42.6"/>
    <n v="85.2"/>
    <x v="21"/>
    <x v="25"/>
    <x v="1"/>
    <x v="4"/>
    <x v="0"/>
    <x v="0"/>
    <x v="11"/>
    <n v="2"/>
    <n v="4"/>
    <x v="1"/>
  </r>
  <r>
    <s v="TX500494"/>
    <x v="8"/>
    <n v="10"/>
    <n v="15.2"/>
    <n v="152"/>
    <x v="21"/>
    <x v="25"/>
    <x v="1"/>
    <x v="2"/>
    <x v="0"/>
    <x v="0"/>
    <x v="11"/>
    <n v="2"/>
    <n v="4"/>
    <x v="1"/>
  </r>
  <r>
    <s v="TX500495"/>
    <x v="7"/>
    <n v="4"/>
    <n v="83.4"/>
    <n v="333.6"/>
    <x v="21"/>
    <x v="23"/>
    <x v="1"/>
    <x v="2"/>
    <x v="1"/>
    <x v="0"/>
    <x v="18"/>
    <n v="1"/>
    <n v="4"/>
    <x v="1"/>
  </r>
  <r>
    <s v="TX500496"/>
    <x v="19"/>
    <n v="2"/>
    <n v="27.7"/>
    <n v="55.4"/>
    <x v="21"/>
    <x v="23"/>
    <x v="1"/>
    <x v="0"/>
    <x v="1"/>
    <x v="0"/>
    <x v="13"/>
    <n v="1"/>
    <n v="4"/>
    <x v="1"/>
  </r>
  <r>
    <s v="TX500497"/>
    <x v="10"/>
    <n v="12"/>
    <n v="20.8"/>
    <n v="249.60000000000002"/>
    <x v="21"/>
    <x v="23"/>
    <x v="0"/>
    <x v="3"/>
    <x v="0"/>
    <x v="0"/>
    <x v="13"/>
    <n v="1"/>
    <n v="4"/>
    <x v="0"/>
  </r>
  <r>
    <s v="TX500498"/>
    <x v="11"/>
    <n v="2"/>
    <n v="72.7"/>
    <n v="145.4"/>
    <x v="21"/>
    <x v="19"/>
    <x v="1"/>
    <x v="4"/>
    <x v="2"/>
    <x v="0"/>
    <x v="44"/>
    <n v="4"/>
    <n v="4"/>
    <x v="1"/>
  </r>
  <r>
    <s v="TX500499"/>
    <x v="10"/>
    <n v="4"/>
    <n v="38.6"/>
    <n v="154.4"/>
    <x v="21"/>
    <x v="23"/>
    <x v="0"/>
    <x v="0"/>
    <x v="2"/>
    <x v="0"/>
    <x v="22"/>
    <n v="1"/>
    <n v="4"/>
    <x v="0"/>
  </r>
  <r>
    <s v="TX500500"/>
    <x v="8"/>
    <n v="7"/>
    <n v="33.1"/>
    <n v="231.70000000000002"/>
    <x v="21"/>
    <x v="23"/>
    <x v="3"/>
    <x v="4"/>
    <x v="3"/>
    <x v="0"/>
    <x v="3"/>
    <n v="1"/>
    <n v="4"/>
    <x v="3"/>
  </r>
  <r>
    <s v="TX500501"/>
    <x v="10"/>
    <n v="2"/>
    <n v="30.5"/>
    <n v="61"/>
    <x v="21"/>
    <x v="24"/>
    <x v="2"/>
    <x v="1"/>
    <x v="1"/>
    <x v="0"/>
    <x v="3"/>
    <n v="0"/>
    <n v="4"/>
    <x v="2"/>
  </r>
  <r>
    <s v="TX500502"/>
    <x v="9"/>
    <n v="2"/>
    <n v="69.599999999999994"/>
    <n v="139.19999999999999"/>
    <x v="21"/>
    <x v="23"/>
    <x v="0"/>
    <x v="0"/>
    <x v="1"/>
    <x v="0"/>
    <x v="3"/>
    <n v="1"/>
    <n v="4"/>
    <x v="0"/>
  </r>
  <r>
    <s v="TX500503"/>
    <x v="11"/>
    <n v="1"/>
    <n v="42.4"/>
    <n v="42.4"/>
    <x v="21"/>
    <x v="19"/>
    <x v="1"/>
    <x v="1"/>
    <x v="0"/>
    <x v="0"/>
    <x v="3"/>
    <n v="4"/>
    <n v="4"/>
    <x v="1"/>
  </r>
  <r>
    <s v="TX500504"/>
    <x v="17"/>
    <n v="1"/>
    <n v="32.200000000000003"/>
    <n v="32.200000000000003"/>
    <x v="21"/>
    <x v="17"/>
    <x v="1"/>
    <x v="2"/>
    <x v="1"/>
    <x v="0"/>
    <x v="3"/>
    <n v="3"/>
    <n v="4"/>
    <x v="1"/>
  </r>
  <r>
    <s v="TX500505"/>
    <x v="6"/>
    <n v="2"/>
    <n v="41.5"/>
    <n v="83"/>
    <x v="21"/>
    <x v="17"/>
    <x v="1"/>
    <x v="0"/>
    <x v="2"/>
    <x v="0"/>
    <x v="3"/>
    <n v="3"/>
    <n v="4"/>
    <x v="1"/>
  </r>
  <r>
    <s v="TX500506"/>
    <x v="16"/>
    <n v="9"/>
    <n v="58.9"/>
    <n v="530.1"/>
    <x v="21"/>
    <x v="19"/>
    <x v="1"/>
    <x v="3"/>
    <x v="0"/>
    <x v="0"/>
    <x v="3"/>
    <n v="4"/>
    <n v="4"/>
    <x v="1"/>
  </r>
  <r>
    <s v="TX500507"/>
    <x v="2"/>
    <n v="1"/>
    <n v="57.1"/>
    <n v="57.1"/>
    <x v="21"/>
    <x v="17"/>
    <x v="1"/>
    <x v="1"/>
    <x v="0"/>
    <x v="0"/>
    <x v="3"/>
    <n v="3"/>
    <n v="4"/>
    <x v="1"/>
  </r>
  <r>
    <s v="TX500508"/>
    <x v="6"/>
    <n v="1"/>
    <n v="57.2"/>
    <n v="57.2"/>
    <x v="21"/>
    <x v="25"/>
    <x v="0"/>
    <x v="1"/>
    <x v="0"/>
    <x v="0"/>
    <x v="3"/>
    <n v="2"/>
    <n v="4"/>
    <x v="0"/>
  </r>
  <r>
    <s v="TX500509"/>
    <x v="8"/>
    <n v="2"/>
    <n v="35.1"/>
    <n v="70.2"/>
    <x v="21"/>
    <x v="23"/>
    <x v="0"/>
    <x v="1"/>
    <x v="0"/>
    <x v="0"/>
    <x v="6"/>
    <n v="1"/>
    <n v="4"/>
    <x v="0"/>
  </r>
  <r>
    <s v="TX500510"/>
    <x v="1"/>
    <n v="1"/>
    <n v="52.1"/>
    <n v="52.1"/>
    <x v="21"/>
    <x v="25"/>
    <x v="1"/>
    <x v="4"/>
    <x v="1"/>
    <x v="0"/>
    <x v="8"/>
    <n v="2"/>
    <n v="4"/>
    <x v="1"/>
  </r>
  <r>
    <s v="TX500511"/>
    <x v="13"/>
    <n v="3"/>
    <n v="59.8"/>
    <n v="179.39999999999998"/>
    <x v="21"/>
    <x v="25"/>
    <x v="1"/>
    <x v="4"/>
    <x v="1"/>
    <x v="0"/>
    <x v="8"/>
    <n v="2"/>
    <n v="4"/>
    <x v="1"/>
  </r>
  <r>
    <s v="TX500512"/>
    <x v="3"/>
    <n v="4"/>
    <n v="83.3"/>
    <n v="333.2"/>
    <x v="21"/>
    <x v="24"/>
    <x v="2"/>
    <x v="2"/>
    <x v="0"/>
    <x v="0"/>
    <x v="8"/>
    <n v="0"/>
    <n v="4"/>
    <x v="2"/>
  </r>
  <r>
    <s v="TX500513"/>
    <x v="15"/>
    <n v="12"/>
    <n v="41.3"/>
    <n v="495.59999999999997"/>
    <x v="21"/>
    <x v="23"/>
    <x v="1"/>
    <x v="1"/>
    <x v="0"/>
    <x v="0"/>
    <x v="8"/>
    <n v="1"/>
    <n v="4"/>
    <x v="1"/>
  </r>
  <r>
    <s v="TX500514"/>
    <x v="8"/>
    <n v="5"/>
    <n v="16"/>
    <n v="80"/>
    <x v="21"/>
    <x v="25"/>
    <x v="0"/>
    <x v="4"/>
    <x v="1"/>
    <x v="0"/>
    <x v="9"/>
    <n v="2"/>
    <n v="4"/>
    <x v="0"/>
  </r>
  <r>
    <s v="TX500515"/>
    <x v="10"/>
    <n v="2"/>
    <n v="20.8"/>
    <n v="41.6"/>
    <x v="22"/>
    <x v="17"/>
    <x v="0"/>
    <x v="0"/>
    <x v="2"/>
    <x v="0"/>
    <x v="11"/>
    <n v="2"/>
    <n v="4"/>
    <x v="0"/>
  </r>
  <r>
    <s v="TX500516"/>
    <x v="8"/>
    <n v="28"/>
    <n v="27.1"/>
    <n v="758.80000000000007"/>
    <x v="22"/>
    <x v="25"/>
    <x v="2"/>
    <x v="3"/>
    <x v="2"/>
    <x v="0"/>
    <x v="11"/>
    <n v="1"/>
    <n v="4"/>
    <x v="2"/>
  </r>
  <r>
    <s v="TX500517"/>
    <x v="10"/>
    <n v="2"/>
    <n v="38.9"/>
    <n v="77.8"/>
    <x v="22"/>
    <x v="17"/>
    <x v="1"/>
    <x v="0"/>
    <x v="0"/>
    <x v="0"/>
    <x v="18"/>
    <n v="2"/>
    <n v="4"/>
    <x v="1"/>
  </r>
  <r>
    <s v="TX500518"/>
    <x v="0"/>
    <n v="2"/>
    <n v="10.8"/>
    <n v="21.6"/>
    <x v="22"/>
    <x v="19"/>
    <x v="1"/>
    <x v="1"/>
    <x v="2"/>
    <x v="0"/>
    <x v="45"/>
    <n v="3"/>
    <n v="4"/>
    <x v="1"/>
  </r>
  <r>
    <s v="TX500519"/>
    <x v="4"/>
    <n v="13"/>
    <n v="48.4"/>
    <n v="629.19999999999993"/>
    <x v="22"/>
    <x v="22"/>
    <x v="1"/>
    <x v="0"/>
    <x v="0"/>
    <x v="0"/>
    <x v="21"/>
    <n v="4"/>
    <n v="4"/>
    <x v="1"/>
  </r>
  <r>
    <s v="TX500520"/>
    <x v="4"/>
    <n v="3"/>
    <n v="29.2"/>
    <n v="87.6"/>
    <x v="22"/>
    <x v="19"/>
    <x v="1"/>
    <x v="1"/>
    <x v="1"/>
    <x v="0"/>
    <x v="2"/>
    <n v="3"/>
    <n v="4"/>
    <x v="1"/>
  </r>
  <r>
    <s v="TX500521"/>
    <x v="4"/>
    <n v="2"/>
    <n v="25.1"/>
    <n v="50.2"/>
    <x v="22"/>
    <x v="25"/>
    <x v="0"/>
    <x v="0"/>
    <x v="1"/>
    <x v="0"/>
    <x v="2"/>
    <n v="1"/>
    <n v="4"/>
    <x v="0"/>
  </r>
  <r>
    <s v="TX500522"/>
    <x v="7"/>
    <n v="3"/>
    <n v="65.599999999999994"/>
    <n v="196.79999999999998"/>
    <x v="22"/>
    <x v="23"/>
    <x v="1"/>
    <x v="2"/>
    <x v="1"/>
    <x v="0"/>
    <x v="3"/>
    <n v="0"/>
    <n v="4"/>
    <x v="1"/>
  </r>
  <r>
    <s v="TX500523"/>
    <x v="2"/>
    <n v="2"/>
    <n v="57.3"/>
    <n v="114.6"/>
    <x v="22"/>
    <x v="23"/>
    <x v="2"/>
    <x v="0"/>
    <x v="0"/>
    <x v="0"/>
    <x v="3"/>
    <n v="0"/>
    <n v="4"/>
    <x v="2"/>
  </r>
  <r>
    <s v="TX500524"/>
    <x v="9"/>
    <n v="4"/>
    <n v="22.4"/>
    <n v="89.6"/>
    <x v="22"/>
    <x v="25"/>
    <x v="1"/>
    <x v="2"/>
    <x v="2"/>
    <x v="0"/>
    <x v="3"/>
    <n v="1"/>
    <n v="4"/>
    <x v="1"/>
  </r>
  <r>
    <s v="TX500525"/>
    <x v="12"/>
    <n v="9"/>
    <n v="45.7"/>
    <n v="411.3"/>
    <x v="22"/>
    <x v="25"/>
    <x v="1"/>
    <x v="0"/>
    <x v="0"/>
    <x v="0"/>
    <x v="3"/>
    <n v="1"/>
    <n v="4"/>
    <x v="1"/>
  </r>
  <r>
    <s v="TX500526"/>
    <x v="8"/>
    <n v="2"/>
    <n v="29.3"/>
    <n v="58.6"/>
    <x v="22"/>
    <x v="25"/>
    <x v="0"/>
    <x v="1"/>
    <x v="0"/>
    <x v="0"/>
    <x v="3"/>
    <n v="1"/>
    <n v="4"/>
    <x v="0"/>
  </r>
  <r>
    <s v="TX500527"/>
    <x v="18"/>
    <n v="22"/>
    <n v="74"/>
    <n v="1628"/>
    <x v="22"/>
    <x v="25"/>
    <x v="0"/>
    <x v="0"/>
    <x v="2"/>
    <x v="0"/>
    <x v="3"/>
    <n v="1"/>
    <n v="4"/>
    <x v="0"/>
  </r>
  <r>
    <s v="TX500528"/>
    <x v="14"/>
    <n v="2"/>
    <n v="39.200000000000003"/>
    <n v="78.400000000000006"/>
    <x v="22"/>
    <x v="17"/>
    <x v="1"/>
    <x v="1"/>
    <x v="0"/>
    <x v="0"/>
    <x v="3"/>
    <n v="2"/>
    <n v="4"/>
    <x v="1"/>
  </r>
  <r>
    <s v="TX500529"/>
    <x v="4"/>
    <n v="17"/>
    <n v="62.7"/>
    <n v="1065.9000000000001"/>
    <x v="22"/>
    <x v="25"/>
    <x v="1"/>
    <x v="2"/>
    <x v="1"/>
    <x v="0"/>
    <x v="3"/>
    <n v="1"/>
    <n v="4"/>
    <x v="1"/>
  </r>
  <r>
    <s v="TX500530"/>
    <x v="10"/>
    <n v="2"/>
    <n v="60.1"/>
    <n v="120.2"/>
    <x v="22"/>
    <x v="25"/>
    <x v="1"/>
    <x v="3"/>
    <x v="0"/>
    <x v="0"/>
    <x v="3"/>
    <n v="1"/>
    <n v="4"/>
    <x v="1"/>
  </r>
  <r>
    <s v="TX500531"/>
    <x v="0"/>
    <n v="4"/>
    <n v="11.2"/>
    <n v="44.8"/>
    <x v="22"/>
    <x v="25"/>
    <x v="1"/>
    <x v="3"/>
    <x v="1"/>
    <x v="0"/>
    <x v="3"/>
    <n v="1"/>
    <n v="4"/>
    <x v="1"/>
  </r>
  <r>
    <s v="TX500532"/>
    <x v="8"/>
    <n v="2"/>
    <n v="22.9"/>
    <n v="45.8"/>
    <x v="22"/>
    <x v="25"/>
    <x v="1"/>
    <x v="0"/>
    <x v="0"/>
    <x v="0"/>
    <x v="6"/>
    <n v="1"/>
    <n v="4"/>
    <x v="1"/>
  </r>
  <r>
    <s v="TX500533"/>
    <x v="1"/>
    <n v="2"/>
    <n v="37.6"/>
    <n v="75.2"/>
    <x v="22"/>
    <x v="19"/>
    <x v="1"/>
    <x v="0"/>
    <x v="0"/>
    <x v="0"/>
    <x v="6"/>
    <n v="3"/>
    <n v="4"/>
    <x v="1"/>
  </r>
  <r>
    <s v="TX500534"/>
    <x v="6"/>
    <n v="1"/>
    <n v="42.4"/>
    <n v="42.4"/>
    <x v="22"/>
    <x v="25"/>
    <x v="1"/>
    <x v="3"/>
    <x v="2"/>
    <x v="0"/>
    <x v="6"/>
    <n v="1"/>
    <n v="4"/>
    <x v="1"/>
  </r>
  <r>
    <s v="TX500535"/>
    <x v="8"/>
    <n v="2"/>
    <n v="19.600000000000001"/>
    <n v="39.200000000000003"/>
    <x v="22"/>
    <x v="22"/>
    <x v="1"/>
    <x v="2"/>
    <x v="0"/>
    <x v="0"/>
    <x v="7"/>
    <n v="4"/>
    <n v="4"/>
    <x v="1"/>
  </r>
  <r>
    <s v="TX500536"/>
    <x v="9"/>
    <n v="1"/>
    <n v="90.5"/>
    <n v="90.5"/>
    <x v="22"/>
    <x v="19"/>
    <x v="1"/>
    <x v="2"/>
    <x v="0"/>
    <x v="0"/>
    <x v="7"/>
    <n v="3"/>
    <n v="4"/>
    <x v="1"/>
  </r>
  <r>
    <s v="TX500537"/>
    <x v="16"/>
    <n v="11"/>
    <n v="33.9"/>
    <n v="372.9"/>
    <x v="22"/>
    <x v="25"/>
    <x v="0"/>
    <x v="2"/>
    <x v="1"/>
    <x v="0"/>
    <x v="7"/>
    <n v="1"/>
    <n v="4"/>
    <x v="0"/>
  </r>
  <r>
    <s v="TX500538"/>
    <x v="0"/>
    <n v="2"/>
    <n v="32.799999999999997"/>
    <n v="65.599999999999994"/>
    <x v="22"/>
    <x v="17"/>
    <x v="1"/>
    <x v="4"/>
    <x v="4"/>
    <x v="0"/>
    <x v="8"/>
    <n v="2"/>
    <n v="4"/>
    <x v="1"/>
  </r>
  <r>
    <s v="TX500539"/>
    <x v="15"/>
    <n v="1"/>
    <n v="49.9"/>
    <n v="49.9"/>
    <x v="22"/>
    <x v="25"/>
    <x v="0"/>
    <x v="3"/>
    <x v="1"/>
    <x v="0"/>
    <x v="8"/>
    <n v="1"/>
    <n v="4"/>
    <x v="0"/>
  </r>
  <r>
    <s v="TX500540"/>
    <x v="7"/>
    <n v="5"/>
    <n v="79.2"/>
    <n v="396"/>
    <x v="22"/>
    <x v="25"/>
    <x v="1"/>
    <x v="4"/>
    <x v="0"/>
    <x v="0"/>
    <x v="8"/>
    <n v="1"/>
    <n v="4"/>
    <x v="1"/>
  </r>
  <r>
    <s v="TX500541"/>
    <x v="8"/>
    <n v="16"/>
    <n v="19.5"/>
    <n v="312"/>
    <x v="22"/>
    <x v="17"/>
    <x v="0"/>
    <x v="3"/>
    <x v="2"/>
    <x v="0"/>
    <x v="8"/>
    <n v="2"/>
    <n v="4"/>
    <x v="0"/>
  </r>
  <r>
    <s v="TX500542"/>
    <x v="8"/>
    <n v="4"/>
    <n v="18"/>
    <n v="72"/>
    <x v="22"/>
    <x v="25"/>
    <x v="0"/>
    <x v="1"/>
    <x v="0"/>
    <x v="0"/>
    <x v="10"/>
    <n v="1"/>
    <n v="4"/>
    <x v="0"/>
  </r>
  <r>
    <s v="TX500543"/>
    <x v="9"/>
    <n v="3"/>
    <n v="45.9"/>
    <n v="137.69999999999999"/>
    <x v="22"/>
    <x v="17"/>
    <x v="1"/>
    <x v="1"/>
    <x v="1"/>
    <x v="0"/>
    <x v="10"/>
    <n v="2"/>
    <n v="4"/>
    <x v="1"/>
  </r>
  <r>
    <s v="TX500544"/>
    <x v="11"/>
    <n v="1"/>
    <n v="41.2"/>
    <n v="41.2"/>
    <x v="22"/>
    <x v="17"/>
    <x v="1"/>
    <x v="1"/>
    <x v="2"/>
    <x v="0"/>
    <x v="11"/>
    <n v="2"/>
    <n v="4"/>
    <x v="1"/>
  </r>
  <r>
    <s v="TX500545"/>
    <x v="2"/>
    <n v="10"/>
    <n v="167.2"/>
    <n v="1672"/>
    <x v="22"/>
    <x v="17"/>
    <x v="1"/>
    <x v="2"/>
    <x v="2"/>
    <x v="0"/>
    <x v="32"/>
    <n v="2"/>
    <n v="4"/>
    <x v="1"/>
  </r>
  <r>
    <s v="TX500546"/>
    <x v="6"/>
    <n v="30"/>
    <n v="74.5"/>
    <n v="2235"/>
    <x v="23"/>
    <x v="22"/>
    <x v="1"/>
    <x v="1"/>
    <x v="2"/>
    <x v="0"/>
    <x v="38"/>
    <n v="3"/>
    <n v="4"/>
    <x v="1"/>
  </r>
  <r>
    <s v="TX500547"/>
    <x v="7"/>
    <n v="4"/>
    <n v="39.299999999999997"/>
    <n v="157.19999999999999"/>
    <x v="23"/>
    <x v="17"/>
    <x v="2"/>
    <x v="2"/>
    <x v="0"/>
    <x v="0"/>
    <x v="19"/>
    <n v="1"/>
    <n v="4"/>
    <x v="2"/>
  </r>
  <r>
    <s v="TX500548"/>
    <x v="9"/>
    <n v="1"/>
    <n v="68.5"/>
    <n v="68.5"/>
    <x v="23"/>
    <x v="22"/>
    <x v="0"/>
    <x v="1"/>
    <x v="2"/>
    <x v="0"/>
    <x v="12"/>
    <n v="3"/>
    <n v="4"/>
    <x v="0"/>
  </r>
  <r>
    <s v="TX500549"/>
    <x v="0"/>
    <n v="3"/>
    <n v="22.5"/>
    <n v="67.5"/>
    <x v="23"/>
    <x v="25"/>
    <x v="1"/>
    <x v="4"/>
    <x v="0"/>
    <x v="0"/>
    <x v="13"/>
    <n v="0"/>
    <n v="4"/>
    <x v="1"/>
  </r>
  <r>
    <s v="TX500550"/>
    <x v="1"/>
    <n v="1"/>
    <n v="48"/>
    <n v="48"/>
    <x v="23"/>
    <x v="17"/>
    <x v="3"/>
    <x v="4"/>
    <x v="1"/>
    <x v="0"/>
    <x v="46"/>
    <n v="1"/>
    <n v="4"/>
    <x v="3"/>
  </r>
  <r>
    <s v="TX500551"/>
    <x v="6"/>
    <n v="1"/>
    <n v="94"/>
    <n v="94"/>
    <x v="23"/>
    <x v="17"/>
    <x v="0"/>
    <x v="3"/>
    <x v="1"/>
    <x v="0"/>
    <x v="1"/>
    <n v="1"/>
    <n v="4"/>
    <x v="0"/>
  </r>
  <r>
    <s v="TX500552"/>
    <x v="8"/>
    <n v="3"/>
    <n v="21.9"/>
    <n v="65.699999999999989"/>
    <x v="23"/>
    <x v="17"/>
    <x v="1"/>
    <x v="0"/>
    <x v="0"/>
    <x v="0"/>
    <x v="44"/>
    <n v="1"/>
    <n v="4"/>
    <x v="1"/>
  </r>
  <r>
    <s v="TX500553"/>
    <x v="6"/>
    <n v="7"/>
    <n v="64.900000000000006"/>
    <n v="454.30000000000007"/>
    <x v="23"/>
    <x v="17"/>
    <x v="1"/>
    <x v="0"/>
    <x v="0"/>
    <x v="0"/>
    <x v="3"/>
    <n v="1"/>
    <n v="4"/>
    <x v="1"/>
  </r>
  <r>
    <s v="TX500554"/>
    <x v="12"/>
    <n v="1"/>
    <n v="52.9"/>
    <n v="52.9"/>
    <x v="23"/>
    <x v="25"/>
    <x v="1"/>
    <x v="1"/>
    <x v="1"/>
    <x v="0"/>
    <x v="3"/>
    <n v="0"/>
    <n v="4"/>
    <x v="1"/>
  </r>
  <r>
    <s v="TX500555"/>
    <x v="8"/>
    <n v="3"/>
    <n v="25.5"/>
    <n v="76.5"/>
    <x v="23"/>
    <x v="17"/>
    <x v="1"/>
    <x v="1"/>
    <x v="2"/>
    <x v="0"/>
    <x v="3"/>
    <n v="1"/>
    <n v="4"/>
    <x v="1"/>
  </r>
  <r>
    <s v="TX500556"/>
    <x v="6"/>
    <n v="3"/>
    <n v="51.9"/>
    <n v="155.69999999999999"/>
    <x v="23"/>
    <x v="17"/>
    <x v="1"/>
    <x v="3"/>
    <x v="0"/>
    <x v="0"/>
    <x v="3"/>
    <n v="1"/>
    <n v="4"/>
    <x v="1"/>
  </r>
  <r>
    <s v="TX500557"/>
    <x v="5"/>
    <n v="1"/>
    <n v="46.3"/>
    <n v="46.3"/>
    <x v="23"/>
    <x v="22"/>
    <x v="1"/>
    <x v="4"/>
    <x v="0"/>
    <x v="0"/>
    <x v="3"/>
    <n v="3"/>
    <n v="4"/>
    <x v="1"/>
  </r>
  <r>
    <s v="TX500558"/>
    <x v="6"/>
    <n v="2"/>
    <n v="68.2"/>
    <n v="136.4"/>
    <x v="23"/>
    <x v="19"/>
    <x v="1"/>
    <x v="3"/>
    <x v="0"/>
    <x v="0"/>
    <x v="3"/>
    <n v="2"/>
    <n v="4"/>
    <x v="1"/>
  </r>
  <r>
    <s v="TX500559"/>
    <x v="1"/>
    <n v="1"/>
    <n v="40.299999999999997"/>
    <n v="40.299999999999997"/>
    <x v="23"/>
    <x v="17"/>
    <x v="0"/>
    <x v="0"/>
    <x v="1"/>
    <x v="0"/>
    <x v="3"/>
    <n v="1"/>
    <n v="4"/>
    <x v="0"/>
  </r>
  <r>
    <s v="TX500560"/>
    <x v="2"/>
    <n v="3"/>
    <n v="91.3"/>
    <n v="273.89999999999998"/>
    <x v="23"/>
    <x v="28"/>
    <x v="0"/>
    <x v="0"/>
    <x v="2"/>
    <x v="0"/>
    <x v="6"/>
    <n v="5"/>
    <n v="4"/>
    <x v="0"/>
  </r>
  <r>
    <s v="TX500561"/>
    <x v="0"/>
    <n v="3"/>
    <n v="11.9"/>
    <n v="35.700000000000003"/>
    <x v="23"/>
    <x v="17"/>
    <x v="1"/>
    <x v="0"/>
    <x v="1"/>
    <x v="0"/>
    <x v="6"/>
    <n v="1"/>
    <n v="4"/>
    <x v="1"/>
  </r>
  <r>
    <s v="TX500562"/>
    <x v="2"/>
    <n v="2"/>
    <n v="63.5"/>
    <n v="127"/>
    <x v="23"/>
    <x v="19"/>
    <x v="0"/>
    <x v="1"/>
    <x v="0"/>
    <x v="0"/>
    <x v="6"/>
    <n v="2"/>
    <n v="4"/>
    <x v="0"/>
  </r>
  <r>
    <s v="TX500563"/>
    <x v="4"/>
    <n v="2"/>
    <n v="27.1"/>
    <n v="54.2"/>
    <x v="23"/>
    <x v="22"/>
    <x v="0"/>
    <x v="2"/>
    <x v="2"/>
    <x v="0"/>
    <x v="6"/>
    <n v="3"/>
    <n v="4"/>
    <x v="0"/>
  </r>
  <r>
    <s v="TX500564"/>
    <x v="1"/>
    <n v="2"/>
    <n v="82.1"/>
    <n v="164.2"/>
    <x v="24"/>
    <x v="29"/>
    <x v="0"/>
    <x v="1"/>
    <x v="1"/>
    <x v="0"/>
    <x v="7"/>
    <n v="3"/>
    <n v="4"/>
    <x v="0"/>
  </r>
  <r>
    <s v="TX500565"/>
    <x v="3"/>
    <n v="5"/>
    <n v="42.9"/>
    <n v="214.5"/>
    <x v="24"/>
    <x v="22"/>
    <x v="1"/>
    <x v="1"/>
    <x v="0"/>
    <x v="0"/>
    <x v="8"/>
    <n v="2"/>
    <n v="4"/>
    <x v="1"/>
  </r>
  <r>
    <s v="TX500566"/>
    <x v="8"/>
    <n v="11"/>
    <n v="37.9"/>
    <n v="416.9"/>
    <x v="24"/>
    <x v="30"/>
    <x v="0"/>
    <x v="0"/>
    <x v="0"/>
    <x v="0"/>
    <x v="8"/>
    <n v="7"/>
    <n v="4"/>
    <x v="0"/>
  </r>
  <r>
    <s v="TX500567"/>
    <x v="0"/>
    <n v="1"/>
    <n v="22.4"/>
    <n v="22.4"/>
    <x v="24"/>
    <x v="19"/>
    <x v="1"/>
    <x v="0"/>
    <x v="1"/>
    <x v="0"/>
    <x v="17"/>
    <n v="1"/>
    <n v="4"/>
    <x v="1"/>
  </r>
  <r>
    <s v="TX500568"/>
    <x v="2"/>
    <n v="13"/>
    <n v="79.900000000000006"/>
    <n v="1038.7"/>
    <x v="24"/>
    <x v="31"/>
    <x v="1"/>
    <x v="3"/>
    <x v="1"/>
    <x v="0"/>
    <x v="11"/>
    <n v="13"/>
    <n v="4"/>
    <x v="1"/>
  </r>
  <r>
    <s v="TX500569"/>
    <x v="1"/>
    <n v="1"/>
    <n v="70.599999999999994"/>
    <n v="70.599999999999994"/>
    <x v="24"/>
    <x v="29"/>
    <x v="1"/>
    <x v="0"/>
    <x v="1"/>
    <x v="0"/>
    <x v="11"/>
    <n v="3"/>
    <n v="4"/>
    <x v="1"/>
  </r>
  <r>
    <s v="TX500570"/>
    <x v="6"/>
    <n v="1"/>
    <n v="49.5"/>
    <n v="49.5"/>
    <x v="24"/>
    <x v="22"/>
    <x v="0"/>
    <x v="0"/>
    <x v="0"/>
    <x v="0"/>
    <x v="13"/>
    <n v="2"/>
    <n v="4"/>
    <x v="0"/>
  </r>
  <r>
    <s v="TX500571"/>
    <x v="2"/>
    <n v="2"/>
    <n v="96.6"/>
    <n v="193.2"/>
    <x v="24"/>
    <x v="22"/>
    <x v="0"/>
    <x v="0"/>
    <x v="0"/>
    <x v="0"/>
    <x v="21"/>
    <n v="2"/>
    <n v="4"/>
    <x v="0"/>
  </r>
  <r>
    <s v="TX500572"/>
    <x v="6"/>
    <n v="2"/>
    <n v="52.8"/>
    <n v="105.6"/>
    <x v="24"/>
    <x v="19"/>
    <x v="1"/>
    <x v="1"/>
    <x v="1"/>
    <x v="0"/>
    <x v="21"/>
    <n v="1"/>
    <n v="4"/>
    <x v="1"/>
  </r>
  <r>
    <s v="TX500573"/>
    <x v="2"/>
    <n v="1"/>
    <n v="101.7"/>
    <n v="101.7"/>
    <x v="24"/>
    <x v="19"/>
    <x v="0"/>
    <x v="0"/>
    <x v="0"/>
    <x v="0"/>
    <x v="1"/>
    <n v="1"/>
    <n v="4"/>
    <x v="0"/>
  </r>
  <r>
    <s v="TX500574"/>
    <x v="4"/>
    <n v="5"/>
    <n v="26.9"/>
    <n v="134.5"/>
    <x v="24"/>
    <x v="26"/>
    <x v="1"/>
    <x v="1"/>
    <x v="1"/>
    <x v="0"/>
    <x v="22"/>
    <n v="5"/>
    <n v="4"/>
    <x v="1"/>
  </r>
  <r>
    <s v="TX500575"/>
    <x v="2"/>
    <n v="4"/>
    <n v="211"/>
    <n v="844"/>
    <x v="24"/>
    <x v="17"/>
    <x v="1"/>
    <x v="1"/>
    <x v="1"/>
    <x v="0"/>
    <x v="3"/>
    <n v="0"/>
    <n v="4"/>
    <x v="1"/>
  </r>
  <r>
    <s v="TX500576"/>
    <x v="0"/>
    <n v="4"/>
    <n v="21.1"/>
    <n v="84.4"/>
    <x v="24"/>
    <x v="29"/>
    <x v="0"/>
    <x v="4"/>
    <x v="0"/>
    <x v="0"/>
    <x v="3"/>
    <n v="3"/>
    <n v="4"/>
    <x v="0"/>
  </r>
  <r>
    <s v="TX500577"/>
    <x v="10"/>
    <n v="1"/>
    <n v="26.6"/>
    <n v="26.6"/>
    <x v="24"/>
    <x v="22"/>
    <x v="0"/>
    <x v="0"/>
    <x v="4"/>
    <x v="0"/>
    <x v="3"/>
    <n v="2"/>
    <n v="4"/>
    <x v="0"/>
  </r>
  <r>
    <s v="TX500578"/>
    <x v="12"/>
    <n v="4"/>
    <n v="51.2"/>
    <n v="204.8"/>
    <x v="24"/>
    <x v="19"/>
    <x v="1"/>
    <x v="3"/>
    <x v="0"/>
    <x v="0"/>
    <x v="47"/>
    <n v="1"/>
    <n v="4"/>
    <x v="1"/>
  </r>
  <r>
    <s v="TX500579"/>
    <x v="0"/>
    <n v="5"/>
    <n v="10.6"/>
    <n v="53"/>
    <x v="24"/>
    <x v="28"/>
    <x v="1"/>
    <x v="0"/>
    <x v="0"/>
    <x v="0"/>
    <x v="8"/>
    <n v="4"/>
    <n v="4"/>
    <x v="1"/>
  </r>
  <r>
    <s v="TX500580"/>
    <x v="6"/>
    <n v="3"/>
    <n v="43.4"/>
    <n v="130.19999999999999"/>
    <x v="24"/>
    <x v="29"/>
    <x v="1"/>
    <x v="4"/>
    <x v="0"/>
    <x v="0"/>
    <x v="8"/>
    <n v="3"/>
    <n v="4"/>
    <x v="1"/>
  </r>
  <r>
    <s v="TX500581"/>
    <x v="12"/>
    <n v="1"/>
    <n v="80"/>
    <n v="80"/>
    <x v="24"/>
    <x v="17"/>
    <x v="1"/>
    <x v="0"/>
    <x v="2"/>
    <x v="0"/>
    <x v="8"/>
    <n v="0"/>
    <n v="4"/>
    <x v="1"/>
  </r>
  <r>
    <s v="TX500582"/>
    <x v="10"/>
    <n v="4"/>
    <n v="64.7"/>
    <n v="258.8"/>
    <x v="24"/>
    <x v="22"/>
    <x v="1"/>
    <x v="1"/>
    <x v="4"/>
    <x v="0"/>
    <x v="8"/>
    <n v="2"/>
    <n v="4"/>
    <x v="1"/>
  </r>
  <r>
    <s v="TX500583"/>
    <x v="8"/>
    <n v="11"/>
    <n v="26.3"/>
    <n v="289.3"/>
    <x v="25"/>
    <x v="19"/>
    <x v="1"/>
    <x v="4"/>
    <x v="1"/>
    <x v="0"/>
    <x v="26"/>
    <n v="0"/>
    <n v="5"/>
    <x v="1"/>
  </r>
  <r>
    <s v="TX500584"/>
    <x v="10"/>
    <n v="1"/>
    <n v="28.5"/>
    <n v="28.5"/>
    <x v="25"/>
    <x v="19"/>
    <x v="0"/>
    <x v="0"/>
    <x v="1"/>
    <x v="0"/>
    <x v="9"/>
    <n v="0"/>
    <n v="5"/>
    <x v="0"/>
  </r>
  <r>
    <s v="TX500585"/>
    <x v="17"/>
    <n v="1"/>
    <n v="47.8"/>
    <n v="47.8"/>
    <x v="25"/>
    <x v="29"/>
    <x v="1"/>
    <x v="0"/>
    <x v="1"/>
    <x v="0"/>
    <x v="9"/>
    <n v="2"/>
    <n v="5"/>
    <x v="1"/>
  </r>
  <r>
    <s v="TX500586"/>
    <x v="10"/>
    <n v="3"/>
    <n v="42.8"/>
    <n v="128.39999999999998"/>
    <x v="25"/>
    <x v="28"/>
    <x v="1"/>
    <x v="4"/>
    <x v="1"/>
    <x v="0"/>
    <x v="11"/>
    <n v="3"/>
    <n v="5"/>
    <x v="1"/>
  </r>
  <r>
    <s v="TX500587"/>
    <x v="6"/>
    <n v="5"/>
    <n v="46.8"/>
    <n v="234"/>
    <x v="25"/>
    <x v="27"/>
    <x v="1"/>
    <x v="1"/>
    <x v="2"/>
    <x v="0"/>
    <x v="11"/>
    <n v="5"/>
    <n v="5"/>
    <x v="1"/>
  </r>
  <r>
    <s v="TX500588"/>
    <x v="1"/>
    <n v="10"/>
    <n v="64.099999999999994"/>
    <n v="641"/>
    <x v="25"/>
    <x v="22"/>
    <x v="0"/>
    <x v="1"/>
    <x v="0"/>
    <x v="0"/>
    <x v="11"/>
    <n v="1"/>
    <n v="5"/>
    <x v="0"/>
  </r>
  <r>
    <s v="TX500589"/>
    <x v="2"/>
    <n v="1"/>
    <n v="89.1"/>
    <n v="89.1"/>
    <x v="25"/>
    <x v="22"/>
    <x v="1"/>
    <x v="0"/>
    <x v="1"/>
    <x v="0"/>
    <x v="20"/>
    <n v="1"/>
    <n v="5"/>
    <x v="1"/>
  </r>
  <r>
    <s v="TX500590"/>
    <x v="2"/>
    <n v="3"/>
    <n v="83.1"/>
    <n v="249.29999999999998"/>
    <x v="25"/>
    <x v="22"/>
    <x v="1"/>
    <x v="2"/>
    <x v="1"/>
    <x v="0"/>
    <x v="13"/>
    <n v="1"/>
    <n v="5"/>
    <x v="1"/>
  </r>
  <r>
    <s v="TX500591"/>
    <x v="8"/>
    <n v="3"/>
    <n v="40.9"/>
    <n v="122.69999999999999"/>
    <x v="25"/>
    <x v="22"/>
    <x v="0"/>
    <x v="0"/>
    <x v="0"/>
    <x v="0"/>
    <x v="1"/>
    <n v="1"/>
    <n v="5"/>
    <x v="0"/>
  </r>
  <r>
    <s v="TX500592"/>
    <x v="2"/>
    <n v="2"/>
    <n v="125.7"/>
    <n v="251.4"/>
    <x v="25"/>
    <x v="22"/>
    <x v="1"/>
    <x v="3"/>
    <x v="0"/>
    <x v="0"/>
    <x v="2"/>
    <n v="1"/>
    <n v="5"/>
    <x v="1"/>
  </r>
  <r>
    <s v="TX500593"/>
    <x v="3"/>
    <n v="2"/>
    <n v="30.9"/>
    <n v="61.8"/>
    <x v="25"/>
    <x v="19"/>
    <x v="1"/>
    <x v="2"/>
    <x v="2"/>
    <x v="0"/>
    <x v="22"/>
    <n v="0"/>
    <n v="5"/>
    <x v="1"/>
  </r>
  <r>
    <s v="TX500594"/>
    <x v="8"/>
    <n v="2"/>
    <n v="18.3"/>
    <n v="36.6"/>
    <x v="25"/>
    <x v="22"/>
    <x v="1"/>
    <x v="1"/>
    <x v="0"/>
    <x v="0"/>
    <x v="3"/>
    <n v="1"/>
    <n v="5"/>
    <x v="1"/>
  </r>
  <r>
    <s v="TX500595"/>
    <x v="4"/>
    <n v="2"/>
    <n v="56.5"/>
    <n v="113"/>
    <x v="25"/>
    <x v="26"/>
    <x v="0"/>
    <x v="2"/>
    <x v="2"/>
    <x v="0"/>
    <x v="3"/>
    <n v="4"/>
    <n v="5"/>
    <x v="0"/>
  </r>
  <r>
    <s v="TX500596"/>
    <x v="10"/>
    <n v="7"/>
    <n v="29.9"/>
    <n v="209.29999999999998"/>
    <x v="25"/>
    <x v="29"/>
    <x v="0"/>
    <x v="4"/>
    <x v="2"/>
    <x v="0"/>
    <x v="3"/>
    <n v="2"/>
    <n v="5"/>
    <x v="0"/>
  </r>
  <r>
    <s v="TX500597"/>
    <x v="5"/>
    <n v="2"/>
    <n v="50.4"/>
    <n v="100.8"/>
    <x v="25"/>
    <x v="22"/>
    <x v="1"/>
    <x v="2"/>
    <x v="0"/>
    <x v="0"/>
    <x v="3"/>
    <n v="1"/>
    <n v="5"/>
    <x v="1"/>
  </r>
  <r>
    <s v="TX500598"/>
    <x v="2"/>
    <n v="1"/>
    <n v="85.8"/>
    <n v="85.8"/>
    <x v="25"/>
    <x v="19"/>
    <x v="1"/>
    <x v="2"/>
    <x v="2"/>
    <x v="0"/>
    <x v="3"/>
    <n v="0"/>
    <n v="5"/>
    <x v="1"/>
  </r>
  <r>
    <s v="TX500599"/>
    <x v="4"/>
    <n v="16"/>
    <n v="66.599999999999994"/>
    <n v="1065.5999999999999"/>
    <x v="25"/>
    <x v="29"/>
    <x v="0"/>
    <x v="1"/>
    <x v="0"/>
    <x v="0"/>
    <x v="3"/>
    <n v="2"/>
    <n v="5"/>
    <x v="0"/>
  </r>
  <r>
    <s v="TX500600"/>
    <x v="6"/>
    <n v="4"/>
    <n v="70.3"/>
    <n v="281.2"/>
    <x v="25"/>
    <x v="22"/>
    <x v="1"/>
    <x v="0"/>
    <x v="1"/>
    <x v="0"/>
    <x v="3"/>
    <n v="1"/>
    <n v="5"/>
    <x v="1"/>
  </r>
  <r>
    <s v="TX500601"/>
    <x v="8"/>
    <n v="4"/>
    <n v="31"/>
    <n v="124"/>
    <x v="25"/>
    <x v="28"/>
    <x v="0"/>
    <x v="0"/>
    <x v="2"/>
    <x v="0"/>
    <x v="3"/>
    <n v="3"/>
    <n v="5"/>
    <x v="0"/>
  </r>
  <r>
    <s v="TX500602"/>
    <x v="7"/>
    <n v="6"/>
    <n v="81.599999999999994"/>
    <n v="489.59999999999997"/>
    <x v="25"/>
    <x v="22"/>
    <x v="1"/>
    <x v="1"/>
    <x v="1"/>
    <x v="0"/>
    <x v="37"/>
    <n v="1"/>
    <n v="5"/>
    <x v="1"/>
  </r>
  <r>
    <s v="TX500603"/>
    <x v="1"/>
    <n v="25"/>
    <n v="58.3"/>
    <n v="1457.5"/>
    <x v="25"/>
    <x v="22"/>
    <x v="1"/>
    <x v="0"/>
    <x v="0"/>
    <x v="0"/>
    <x v="16"/>
    <n v="1"/>
    <n v="5"/>
    <x v="1"/>
  </r>
  <r>
    <s v="TX500604"/>
    <x v="1"/>
    <n v="4"/>
    <n v="35.1"/>
    <n v="140.4"/>
    <x v="25"/>
    <x v="29"/>
    <x v="0"/>
    <x v="0"/>
    <x v="2"/>
    <x v="0"/>
    <x v="8"/>
    <n v="2"/>
    <n v="5"/>
    <x v="0"/>
  </r>
  <r>
    <s v="TX500605"/>
    <x v="2"/>
    <n v="1"/>
    <n v="80.2"/>
    <n v="80.2"/>
    <x v="25"/>
    <x v="22"/>
    <x v="0"/>
    <x v="3"/>
    <x v="2"/>
    <x v="0"/>
    <x v="8"/>
    <n v="1"/>
    <n v="5"/>
    <x v="0"/>
  </r>
  <r>
    <s v="TX500606"/>
    <x v="14"/>
    <n v="3"/>
    <n v="39.200000000000003"/>
    <n v="117.60000000000001"/>
    <x v="25"/>
    <x v="29"/>
    <x v="1"/>
    <x v="1"/>
    <x v="0"/>
    <x v="0"/>
    <x v="9"/>
    <n v="2"/>
    <n v="5"/>
    <x v="1"/>
  </r>
  <r>
    <s v="TX500607"/>
    <x v="0"/>
    <n v="2"/>
    <n v="15.4"/>
    <n v="30.8"/>
    <x v="25"/>
    <x v="19"/>
    <x v="1"/>
    <x v="3"/>
    <x v="0"/>
    <x v="0"/>
    <x v="48"/>
    <n v="0"/>
    <n v="5"/>
    <x v="1"/>
  </r>
  <r>
    <s v="TX500608"/>
    <x v="3"/>
    <n v="3"/>
    <n v="65.400000000000006"/>
    <n v="196.20000000000002"/>
    <x v="25"/>
    <x v="28"/>
    <x v="0"/>
    <x v="3"/>
    <x v="0"/>
    <x v="0"/>
    <x v="18"/>
    <n v="3"/>
    <n v="5"/>
    <x v="0"/>
  </r>
  <r>
    <s v="TX500609"/>
    <x v="1"/>
    <n v="8"/>
    <n v="63.2"/>
    <n v="505.6"/>
    <x v="25"/>
    <x v="29"/>
    <x v="1"/>
    <x v="1"/>
    <x v="0"/>
    <x v="0"/>
    <x v="19"/>
    <n v="2"/>
    <n v="5"/>
    <x v="1"/>
  </r>
  <r>
    <s v="TX500610"/>
    <x v="1"/>
    <n v="6"/>
    <n v="35.700000000000003"/>
    <n v="214.20000000000002"/>
    <x v="25"/>
    <x v="26"/>
    <x v="1"/>
    <x v="4"/>
    <x v="1"/>
    <x v="0"/>
    <x v="19"/>
    <n v="4"/>
    <n v="5"/>
    <x v="1"/>
  </r>
  <r>
    <s v="TX500611"/>
    <x v="0"/>
    <n v="20"/>
    <n v="26.2"/>
    <n v="524"/>
    <x v="25"/>
    <x v="22"/>
    <x v="1"/>
    <x v="3"/>
    <x v="0"/>
    <x v="0"/>
    <x v="21"/>
    <n v="1"/>
    <n v="5"/>
    <x v="1"/>
  </r>
  <r>
    <s v="TX500612"/>
    <x v="7"/>
    <n v="2"/>
    <n v="31"/>
    <n v="62"/>
    <x v="25"/>
    <x v="22"/>
    <x v="1"/>
    <x v="0"/>
    <x v="2"/>
    <x v="0"/>
    <x v="1"/>
    <n v="1"/>
    <n v="5"/>
    <x v="1"/>
  </r>
  <r>
    <s v="TX500613"/>
    <x v="8"/>
    <n v="4"/>
    <n v="37.700000000000003"/>
    <n v="150.80000000000001"/>
    <x v="25"/>
    <x v="22"/>
    <x v="1"/>
    <x v="1"/>
    <x v="0"/>
    <x v="0"/>
    <x v="22"/>
    <n v="1"/>
    <n v="5"/>
    <x v="1"/>
  </r>
  <r>
    <s v="TX500614"/>
    <x v="10"/>
    <n v="34"/>
    <n v="43.6"/>
    <n v="1482.4"/>
    <x v="25"/>
    <x v="29"/>
    <x v="1"/>
    <x v="4"/>
    <x v="1"/>
    <x v="0"/>
    <x v="3"/>
    <n v="2"/>
    <n v="5"/>
    <x v="1"/>
  </r>
  <r>
    <s v="TX500615"/>
    <x v="9"/>
    <n v="4"/>
    <n v="26.5"/>
    <n v="106"/>
    <x v="25"/>
    <x v="29"/>
    <x v="0"/>
    <x v="0"/>
    <x v="4"/>
    <x v="0"/>
    <x v="3"/>
    <n v="2"/>
    <n v="5"/>
    <x v="0"/>
  </r>
  <r>
    <s v="TX500616"/>
    <x v="0"/>
    <n v="2"/>
    <n v="34.6"/>
    <n v="69.2"/>
    <x v="25"/>
    <x v="22"/>
    <x v="0"/>
    <x v="4"/>
    <x v="1"/>
    <x v="0"/>
    <x v="3"/>
    <n v="1"/>
    <n v="5"/>
    <x v="0"/>
  </r>
  <r>
    <s v="TX500617"/>
    <x v="8"/>
    <n v="2"/>
    <n v="58.2"/>
    <n v="116.4"/>
    <x v="25"/>
    <x v="22"/>
    <x v="0"/>
    <x v="2"/>
    <x v="2"/>
    <x v="0"/>
    <x v="3"/>
    <n v="1"/>
    <n v="5"/>
    <x v="0"/>
  </r>
  <r>
    <s v="TX500618"/>
    <x v="7"/>
    <n v="1"/>
    <n v="30.2"/>
    <n v="30.2"/>
    <x v="26"/>
    <x v="29"/>
    <x v="1"/>
    <x v="2"/>
    <x v="1"/>
    <x v="0"/>
    <x v="3"/>
    <n v="1"/>
    <n v="5"/>
    <x v="1"/>
  </r>
  <r>
    <s v="TX500619"/>
    <x v="1"/>
    <n v="10"/>
    <n v="53.2"/>
    <n v="532"/>
    <x v="26"/>
    <x v="29"/>
    <x v="0"/>
    <x v="0"/>
    <x v="2"/>
    <x v="0"/>
    <x v="5"/>
    <n v="1"/>
    <n v="5"/>
    <x v="0"/>
  </r>
  <r>
    <s v="TX500620"/>
    <x v="12"/>
    <n v="6"/>
    <n v="51.1"/>
    <n v="306.60000000000002"/>
    <x v="26"/>
    <x v="22"/>
    <x v="0"/>
    <x v="1"/>
    <x v="2"/>
    <x v="0"/>
    <x v="5"/>
    <n v="0"/>
    <n v="5"/>
    <x v="0"/>
  </r>
  <r>
    <s v="TX500621"/>
    <x v="1"/>
    <n v="1"/>
    <n v="105.4"/>
    <n v="105.4"/>
    <x v="26"/>
    <x v="27"/>
    <x v="1"/>
    <x v="1"/>
    <x v="2"/>
    <x v="0"/>
    <x v="23"/>
    <n v="4"/>
    <n v="5"/>
    <x v="1"/>
  </r>
  <r>
    <s v="TX500622"/>
    <x v="7"/>
    <n v="1"/>
    <n v="57.7"/>
    <n v="57.7"/>
    <x v="26"/>
    <x v="22"/>
    <x v="0"/>
    <x v="0"/>
    <x v="4"/>
    <x v="0"/>
    <x v="8"/>
    <n v="0"/>
    <n v="5"/>
    <x v="0"/>
  </r>
  <r>
    <s v="TX500623"/>
    <x v="15"/>
    <n v="2"/>
    <n v="72.400000000000006"/>
    <n v="144.80000000000001"/>
    <x v="26"/>
    <x v="30"/>
    <x v="1"/>
    <x v="0"/>
    <x v="0"/>
    <x v="0"/>
    <x v="17"/>
    <n v="5"/>
    <n v="5"/>
    <x v="1"/>
  </r>
  <r>
    <s v="TX500624"/>
    <x v="6"/>
    <n v="2"/>
    <n v="62.5"/>
    <n v="125"/>
    <x v="26"/>
    <x v="29"/>
    <x v="2"/>
    <x v="0"/>
    <x v="2"/>
    <x v="0"/>
    <x v="11"/>
    <n v="1"/>
    <n v="5"/>
    <x v="2"/>
  </r>
  <r>
    <s v="TX500625"/>
    <x v="0"/>
    <n v="22"/>
    <n v="11.6"/>
    <n v="255.2"/>
    <x v="26"/>
    <x v="28"/>
    <x v="1"/>
    <x v="3"/>
    <x v="2"/>
    <x v="0"/>
    <x v="18"/>
    <n v="2"/>
    <n v="5"/>
    <x v="1"/>
  </r>
  <r>
    <s v="TX500626"/>
    <x v="10"/>
    <n v="10"/>
    <n v="39.6"/>
    <n v="396"/>
    <x v="26"/>
    <x v="28"/>
    <x v="1"/>
    <x v="2"/>
    <x v="2"/>
    <x v="0"/>
    <x v="18"/>
    <n v="2"/>
    <n v="5"/>
    <x v="1"/>
  </r>
  <r>
    <s v="TX500627"/>
    <x v="8"/>
    <n v="2"/>
    <n v="40.1"/>
    <n v="80.2"/>
    <x v="26"/>
    <x v="29"/>
    <x v="1"/>
    <x v="2"/>
    <x v="0"/>
    <x v="0"/>
    <x v="18"/>
    <n v="1"/>
    <n v="5"/>
    <x v="1"/>
  </r>
  <r>
    <s v="TX500628"/>
    <x v="8"/>
    <n v="3"/>
    <n v="18.600000000000001"/>
    <n v="55.800000000000004"/>
    <x v="26"/>
    <x v="29"/>
    <x v="1"/>
    <x v="2"/>
    <x v="0"/>
    <x v="0"/>
    <x v="21"/>
    <n v="1"/>
    <n v="5"/>
    <x v="1"/>
  </r>
  <r>
    <s v="TX500629"/>
    <x v="4"/>
    <n v="1"/>
    <n v="58.8"/>
    <n v="58.8"/>
    <x v="26"/>
    <x v="28"/>
    <x v="1"/>
    <x v="0"/>
    <x v="1"/>
    <x v="0"/>
    <x v="21"/>
    <n v="2"/>
    <n v="5"/>
    <x v="1"/>
  </r>
  <r>
    <s v="TX500630"/>
    <x v="8"/>
    <n v="2"/>
    <n v="22.1"/>
    <n v="44.2"/>
    <x v="26"/>
    <x v="26"/>
    <x v="0"/>
    <x v="1"/>
    <x v="2"/>
    <x v="0"/>
    <x v="21"/>
    <n v="3"/>
    <n v="5"/>
    <x v="0"/>
  </r>
  <r>
    <s v="TX500631"/>
    <x v="2"/>
    <n v="1"/>
    <n v="114.9"/>
    <n v="114.9"/>
    <x v="27"/>
    <x v="28"/>
    <x v="1"/>
    <x v="1"/>
    <x v="1"/>
    <x v="0"/>
    <x v="22"/>
    <n v="1"/>
    <n v="5"/>
    <x v="1"/>
  </r>
  <r>
    <s v="TX500632"/>
    <x v="9"/>
    <n v="5"/>
    <n v="75.8"/>
    <n v="379"/>
    <x v="27"/>
    <x v="28"/>
    <x v="0"/>
    <x v="0"/>
    <x v="2"/>
    <x v="0"/>
    <x v="3"/>
    <n v="1"/>
    <n v="5"/>
    <x v="0"/>
  </r>
  <r>
    <s v="TX500633"/>
    <x v="14"/>
    <n v="5"/>
    <n v="20.6"/>
    <n v="103"/>
    <x v="27"/>
    <x v="28"/>
    <x v="0"/>
    <x v="2"/>
    <x v="2"/>
    <x v="0"/>
    <x v="3"/>
    <n v="1"/>
    <n v="5"/>
    <x v="0"/>
  </r>
  <r>
    <s v="TX500634"/>
    <x v="17"/>
    <n v="3"/>
    <n v="67.900000000000006"/>
    <n v="203.70000000000002"/>
    <x v="27"/>
    <x v="28"/>
    <x v="1"/>
    <x v="1"/>
    <x v="1"/>
    <x v="0"/>
    <x v="3"/>
    <n v="1"/>
    <n v="5"/>
    <x v="1"/>
  </r>
  <r>
    <s v="TX500635"/>
    <x v="0"/>
    <n v="5"/>
    <n v="27"/>
    <n v="135"/>
    <x v="27"/>
    <x v="32"/>
    <x v="1"/>
    <x v="0"/>
    <x v="2"/>
    <x v="0"/>
    <x v="3"/>
    <n v="7"/>
    <n v="5"/>
    <x v="1"/>
  </r>
  <r>
    <s v="TX500636"/>
    <x v="13"/>
    <n v="1"/>
    <n v="50.6"/>
    <n v="50.6"/>
    <x v="27"/>
    <x v="29"/>
    <x v="0"/>
    <x v="0"/>
    <x v="1"/>
    <x v="0"/>
    <x v="3"/>
    <n v="0"/>
    <n v="5"/>
    <x v="0"/>
  </r>
  <r>
    <s v="TX500637"/>
    <x v="4"/>
    <n v="5"/>
    <n v="22.1"/>
    <n v="110.5"/>
    <x v="27"/>
    <x v="33"/>
    <x v="0"/>
    <x v="0"/>
    <x v="0"/>
    <x v="0"/>
    <x v="3"/>
    <n v="5"/>
    <n v="5"/>
    <x v="0"/>
  </r>
  <r>
    <s v="TX500638"/>
    <x v="8"/>
    <n v="3"/>
    <n v="42.9"/>
    <n v="128.69999999999999"/>
    <x v="27"/>
    <x v="26"/>
    <x v="1"/>
    <x v="0"/>
    <x v="0"/>
    <x v="0"/>
    <x v="3"/>
    <n v="2"/>
    <n v="5"/>
    <x v="1"/>
  </r>
  <r>
    <s v="TX500639"/>
    <x v="1"/>
    <n v="11"/>
    <n v="62.4"/>
    <n v="686.4"/>
    <x v="27"/>
    <x v="26"/>
    <x v="1"/>
    <x v="2"/>
    <x v="0"/>
    <x v="0"/>
    <x v="3"/>
    <n v="2"/>
    <n v="5"/>
    <x v="1"/>
  </r>
  <r>
    <s v="TX500640"/>
    <x v="13"/>
    <n v="9"/>
    <n v="36.4"/>
    <n v="327.59999999999997"/>
    <x v="27"/>
    <x v="26"/>
    <x v="1"/>
    <x v="0"/>
    <x v="2"/>
    <x v="0"/>
    <x v="3"/>
    <n v="2"/>
    <n v="5"/>
    <x v="1"/>
  </r>
  <r>
    <s v="TX500641"/>
    <x v="0"/>
    <n v="2"/>
    <n v="22.5"/>
    <n v="45"/>
    <x v="27"/>
    <x v="27"/>
    <x v="0"/>
    <x v="0"/>
    <x v="0"/>
    <x v="0"/>
    <x v="3"/>
    <n v="3"/>
    <n v="5"/>
    <x v="0"/>
  </r>
  <r>
    <s v="TX500642"/>
    <x v="6"/>
    <n v="4"/>
    <n v="70.8"/>
    <n v="283.2"/>
    <x v="27"/>
    <x v="26"/>
    <x v="1"/>
    <x v="4"/>
    <x v="0"/>
    <x v="0"/>
    <x v="3"/>
    <n v="2"/>
    <n v="5"/>
    <x v="1"/>
  </r>
  <r>
    <s v="TX500643"/>
    <x v="6"/>
    <n v="5"/>
    <n v="56.6"/>
    <n v="283"/>
    <x v="27"/>
    <x v="26"/>
    <x v="0"/>
    <x v="0"/>
    <x v="1"/>
    <x v="0"/>
    <x v="4"/>
    <n v="2"/>
    <n v="5"/>
    <x v="0"/>
  </r>
  <r>
    <s v="TX500644"/>
    <x v="6"/>
    <n v="2"/>
    <n v="47.9"/>
    <n v="95.8"/>
    <x v="27"/>
    <x v="28"/>
    <x v="1"/>
    <x v="0"/>
    <x v="0"/>
    <x v="0"/>
    <x v="6"/>
    <n v="1"/>
    <n v="5"/>
    <x v="1"/>
  </r>
  <r>
    <s v="TX500645"/>
    <x v="6"/>
    <n v="8"/>
    <n v="78.400000000000006"/>
    <n v="627.20000000000005"/>
    <x v="27"/>
    <x v="26"/>
    <x v="1"/>
    <x v="1"/>
    <x v="0"/>
    <x v="0"/>
    <x v="6"/>
    <n v="2"/>
    <n v="5"/>
    <x v="1"/>
  </r>
  <r>
    <s v="TX500646"/>
    <x v="2"/>
    <n v="14"/>
    <n v="122.1"/>
    <n v="1709.3999999999999"/>
    <x v="27"/>
    <x v="33"/>
    <x v="1"/>
    <x v="0"/>
    <x v="2"/>
    <x v="0"/>
    <x v="6"/>
    <n v="5"/>
    <n v="5"/>
    <x v="1"/>
  </r>
  <r>
    <s v="TX500647"/>
    <x v="2"/>
    <n v="2"/>
    <n v="83.7"/>
    <n v="167.4"/>
    <x v="28"/>
    <x v="28"/>
    <x v="2"/>
    <x v="1"/>
    <x v="2"/>
    <x v="0"/>
    <x v="7"/>
    <n v="0"/>
    <n v="5"/>
    <x v="2"/>
  </r>
  <r>
    <s v="TX500648"/>
    <x v="3"/>
    <n v="4"/>
    <n v="97.9"/>
    <n v="391.6"/>
    <x v="28"/>
    <x v="33"/>
    <x v="1"/>
    <x v="3"/>
    <x v="2"/>
    <x v="0"/>
    <x v="7"/>
    <n v="4"/>
    <n v="5"/>
    <x v="1"/>
  </r>
  <r>
    <s v="TX500649"/>
    <x v="14"/>
    <n v="1"/>
    <n v="15"/>
    <n v="15"/>
    <x v="28"/>
    <x v="34"/>
    <x v="1"/>
    <x v="3"/>
    <x v="0"/>
    <x v="0"/>
    <x v="8"/>
    <n v="5"/>
    <n v="5"/>
    <x v="1"/>
  </r>
  <r>
    <s v="TX500650"/>
    <x v="12"/>
    <n v="3"/>
    <n v="94.6"/>
    <n v="283.79999999999995"/>
    <x v="28"/>
    <x v="26"/>
    <x v="0"/>
    <x v="2"/>
    <x v="1"/>
    <x v="0"/>
    <x v="8"/>
    <n v="1"/>
    <n v="5"/>
    <x v="0"/>
  </r>
  <r>
    <s v="TX500651"/>
    <x v="0"/>
    <n v="6"/>
    <n v="19.7"/>
    <n v="118.19999999999999"/>
    <x v="28"/>
    <x v="35"/>
    <x v="1"/>
    <x v="0"/>
    <x v="2"/>
    <x v="0"/>
    <x v="8"/>
    <n v="11"/>
    <n v="5"/>
    <x v="1"/>
  </r>
  <r>
    <s v="TX500652"/>
    <x v="7"/>
    <n v="1"/>
    <n v="46.7"/>
    <n v="46.7"/>
    <x v="28"/>
    <x v="30"/>
    <x v="1"/>
    <x v="2"/>
    <x v="0"/>
    <x v="0"/>
    <x v="17"/>
    <n v="3"/>
    <n v="5"/>
    <x v="1"/>
  </r>
  <r>
    <s v="TX500653"/>
    <x v="1"/>
    <n v="4"/>
    <n v="43"/>
    <n v="172"/>
    <x v="28"/>
    <x v="26"/>
    <x v="0"/>
    <x v="2"/>
    <x v="2"/>
    <x v="0"/>
    <x v="17"/>
    <n v="1"/>
    <n v="5"/>
    <x v="0"/>
  </r>
  <r>
    <s v="TX500654"/>
    <x v="6"/>
    <n v="3"/>
    <n v="68.2"/>
    <n v="204.60000000000002"/>
    <x v="28"/>
    <x v="32"/>
    <x v="1"/>
    <x v="0"/>
    <x v="0"/>
    <x v="0"/>
    <x v="9"/>
    <n v="6"/>
    <n v="5"/>
    <x v="1"/>
  </r>
  <r>
    <s v="TX500655"/>
    <x v="10"/>
    <n v="10"/>
    <n v="24.3"/>
    <n v="243"/>
    <x v="28"/>
    <x v="26"/>
    <x v="0"/>
    <x v="0"/>
    <x v="2"/>
    <x v="0"/>
    <x v="10"/>
    <n v="1"/>
    <n v="5"/>
    <x v="0"/>
  </r>
  <r>
    <s v="TX500656"/>
    <x v="7"/>
    <n v="2"/>
    <n v="86.8"/>
    <n v="173.6"/>
    <x v="28"/>
    <x v="33"/>
    <x v="1"/>
    <x v="4"/>
    <x v="2"/>
    <x v="0"/>
    <x v="11"/>
    <n v="4"/>
    <n v="5"/>
    <x v="1"/>
  </r>
  <r>
    <s v="TX500657"/>
    <x v="0"/>
    <n v="2"/>
    <n v="15.8"/>
    <n v="31.6"/>
    <x v="28"/>
    <x v="27"/>
    <x v="0"/>
    <x v="1"/>
    <x v="0"/>
    <x v="0"/>
    <x v="11"/>
    <n v="2"/>
    <n v="5"/>
    <x v="0"/>
  </r>
  <r>
    <s v="TX500658"/>
    <x v="2"/>
    <n v="4"/>
    <n v="61.6"/>
    <n v="246.4"/>
    <x v="28"/>
    <x v="26"/>
    <x v="0"/>
    <x v="2"/>
    <x v="0"/>
    <x v="0"/>
    <x v="11"/>
    <n v="1"/>
    <n v="5"/>
    <x v="0"/>
  </r>
  <r>
    <s v="TX500659"/>
    <x v="6"/>
    <n v="3"/>
    <n v="48.7"/>
    <n v="146.10000000000002"/>
    <x v="28"/>
    <x v="32"/>
    <x v="1"/>
    <x v="1"/>
    <x v="2"/>
    <x v="0"/>
    <x v="45"/>
    <n v="6"/>
    <n v="5"/>
    <x v="1"/>
  </r>
  <r>
    <s v="TX500660"/>
    <x v="8"/>
    <n v="4"/>
    <n v="24.3"/>
    <n v="97.2"/>
    <x v="28"/>
    <x v="27"/>
    <x v="1"/>
    <x v="1"/>
    <x v="2"/>
    <x v="0"/>
    <x v="21"/>
    <n v="2"/>
    <n v="5"/>
    <x v="1"/>
  </r>
  <r>
    <s v="TX500661"/>
    <x v="2"/>
    <n v="2"/>
    <n v="130.69999999999999"/>
    <n v="261.39999999999998"/>
    <x v="28"/>
    <x v="26"/>
    <x v="1"/>
    <x v="2"/>
    <x v="0"/>
    <x v="0"/>
    <x v="44"/>
    <n v="1"/>
    <n v="5"/>
    <x v="1"/>
  </r>
  <r>
    <s v="TX500662"/>
    <x v="10"/>
    <n v="1"/>
    <n v="26"/>
    <n v="26"/>
    <x v="28"/>
    <x v="27"/>
    <x v="0"/>
    <x v="0"/>
    <x v="0"/>
    <x v="0"/>
    <x v="3"/>
    <n v="2"/>
    <n v="5"/>
    <x v="0"/>
  </r>
  <r>
    <s v="TX500663"/>
    <x v="2"/>
    <n v="5"/>
    <n v="94.4"/>
    <n v="472"/>
    <x v="28"/>
    <x v="26"/>
    <x v="1"/>
    <x v="0"/>
    <x v="0"/>
    <x v="0"/>
    <x v="3"/>
    <n v="1"/>
    <n v="5"/>
    <x v="1"/>
  </r>
  <r>
    <s v="TX500664"/>
    <x v="0"/>
    <n v="6"/>
    <n v="23.7"/>
    <n v="142.19999999999999"/>
    <x v="28"/>
    <x v="27"/>
    <x v="0"/>
    <x v="2"/>
    <x v="2"/>
    <x v="0"/>
    <x v="3"/>
    <n v="2"/>
    <n v="5"/>
    <x v="0"/>
  </r>
  <r>
    <s v="TX500665"/>
    <x v="9"/>
    <n v="12"/>
    <n v="37.4"/>
    <n v="448.79999999999995"/>
    <x v="28"/>
    <x v="27"/>
    <x v="0"/>
    <x v="2"/>
    <x v="0"/>
    <x v="0"/>
    <x v="3"/>
    <n v="2"/>
    <n v="5"/>
    <x v="0"/>
  </r>
  <r>
    <s v="TX500666"/>
    <x v="1"/>
    <n v="36"/>
    <n v="55.2"/>
    <n v="1987.2"/>
    <x v="28"/>
    <x v="28"/>
    <x v="1"/>
    <x v="3"/>
    <x v="1"/>
    <x v="0"/>
    <x v="3"/>
    <n v="0"/>
    <n v="5"/>
    <x v="1"/>
  </r>
  <r>
    <s v="TX500667"/>
    <x v="2"/>
    <n v="9"/>
    <n v="57.1"/>
    <n v="513.9"/>
    <x v="28"/>
    <x v="27"/>
    <x v="0"/>
    <x v="0"/>
    <x v="2"/>
    <x v="0"/>
    <x v="3"/>
    <n v="2"/>
    <n v="5"/>
    <x v="0"/>
  </r>
  <r>
    <s v="TX500668"/>
    <x v="12"/>
    <n v="1"/>
    <n v="55.3"/>
    <n v="55.3"/>
    <x v="28"/>
    <x v="26"/>
    <x v="1"/>
    <x v="2"/>
    <x v="2"/>
    <x v="0"/>
    <x v="3"/>
    <n v="1"/>
    <n v="5"/>
    <x v="1"/>
  </r>
  <r>
    <s v="TX500669"/>
    <x v="15"/>
    <n v="7"/>
    <n v="23.9"/>
    <n v="167.29999999999998"/>
    <x v="28"/>
    <x v="26"/>
    <x v="1"/>
    <x v="4"/>
    <x v="1"/>
    <x v="0"/>
    <x v="3"/>
    <n v="1"/>
    <n v="5"/>
    <x v="1"/>
  </r>
  <r>
    <s v="TX500670"/>
    <x v="0"/>
    <n v="1"/>
    <n v="34.1"/>
    <n v="34.1"/>
    <x v="28"/>
    <x v="36"/>
    <x v="1"/>
    <x v="2"/>
    <x v="0"/>
    <x v="0"/>
    <x v="3"/>
    <n v="7"/>
    <n v="5"/>
    <x v="1"/>
  </r>
  <r>
    <s v="TX500671"/>
    <x v="12"/>
    <n v="4"/>
    <n v="38.5"/>
    <n v="154"/>
    <x v="28"/>
    <x v="35"/>
    <x v="1"/>
    <x v="0"/>
    <x v="0"/>
    <x v="0"/>
    <x v="3"/>
    <n v="11"/>
    <n v="5"/>
    <x v="1"/>
  </r>
  <r>
    <s v="TX500672"/>
    <x v="7"/>
    <n v="2"/>
    <n v="105"/>
    <n v="210"/>
    <x v="28"/>
    <x v="32"/>
    <x v="1"/>
    <x v="0"/>
    <x v="2"/>
    <x v="0"/>
    <x v="3"/>
    <n v="6"/>
    <n v="5"/>
    <x v="1"/>
  </r>
  <r>
    <s v="TX500673"/>
    <x v="8"/>
    <n v="5"/>
    <n v="45.2"/>
    <n v="226"/>
    <x v="28"/>
    <x v="27"/>
    <x v="1"/>
    <x v="0"/>
    <x v="2"/>
    <x v="0"/>
    <x v="3"/>
    <n v="2"/>
    <n v="5"/>
    <x v="1"/>
  </r>
  <r>
    <s v="TX500674"/>
    <x v="17"/>
    <n v="3"/>
    <n v="24.8"/>
    <n v="74.400000000000006"/>
    <x v="28"/>
    <x v="28"/>
    <x v="2"/>
    <x v="0"/>
    <x v="1"/>
    <x v="0"/>
    <x v="3"/>
    <n v="0"/>
    <n v="5"/>
    <x v="2"/>
  </r>
  <r>
    <s v="TX500675"/>
    <x v="11"/>
    <n v="4"/>
    <n v="43.8"/>
    <n v="175.2"/>
    <x v="28"/>
    <x v="36"/>
    <x v="1"/>
    <x v="1"/>
    <x v="2"/>
    <x v="0"/>
    <x v="6"/>
    <n v="7"/>
    <n v="5"/>
    <x v="1"/>
  </r>
  <r>
    <s v="TX500676"/>
    <x v="1"/>
    <n v="1"/>
    <n v="75"/>
    <n v="75"/>
    <x v="28"/>
    <x v="27"/>
    <x v="1"/>
    <x v="4"/>
    <x v="1"/>
    <x v="0"/>
    <x v="6"/>
    <n v="2"/>
    <n v="5"/>
    <x v="1"/>
  </r>
  <r>
    <s v="TX500677"/>
    <x v="2"/>
    <n v="1"/>
    <n v="169.9"/>
    <n v="169.9"/>
    <x v="28"/>
    <x v="26"/>
    <x v="0"/>
    <x v="2"/>
    <x v="0"/>
    <x v="0"/>
    <x v="6"/>
    <n v="1"/>
    <n v="5"/>
    <x v="0"/>
  </r>
  <r>
    <s v="TX500678"/>
    <x v="9"/>
    <n v="2"/>
    <n v="72.2"/>
    <n v="144.4"/>
    <x v="28"/>
    <x v="27"/>
    <x v="1"/>
    <x v="4"/>
    <x v="1"/>
    <x v="0"/>
    <x v="6"/>
    <n v="2"/>
    <n v="5"/>
    <x v="1"/>
  </r>
  <r>
    <s v="TX500679"/>
    <x v="0"/>
    <n v="1"/>
    <n v="20"/>
    <n v="20"/>
    <x v="29"/>
    <x v="33"/>
    <x v="1"/>
    <x v="2"/>
    <x v="1"/>
    <x v="0"/>
    <x v="7"/>
    <n v="3"/>
    <n v="5"/>
    <x v="1"/>
  </r>
  <r>
    <s v="TX500680"/>
    <x v="9"/>
    <n v="2"/>
    <n v="40.799999999999997"/>
    <n v="81.599999999999994"/>
    <x v="29"/>
    <x v="30"/>
    <x v="1"/>
    <x v="3"/>
    <x v="2"/>
    <x v="0"/>
    <x v="8"/>
    <n v="2"/>
    <n v="5"/>
    <x v="1"/>
  </r>
  <r>
    <s v="TX500681"/>
    <x v="10"/>
    <n v="4"/>
    <n v="58"/>
    <n v="232"/>
    <x v="29"/>
    <x v="34"/>
    <x v="1"/>
    <x v="0"/>
    <x v="0"/>
    <x v="0"/>
    <x v="8"/>
    <n v="4"/>
    <n v="5"/>
    <x v="1"/>
  </r>
  <r>
    <s v="TX500682"/>
    <x v="12"/>
    <n v="2"/>
    <n v="43.1"/>
    <n v="86.2"/>
    <x v="29"/>
    <x v="27"/>
    <x v="1"/>
    <x v="1"/>
    <x v="2"/>
    <x v="0"/>
    <x v="8"/>
    <n v="1"/>
    <n v="5"/>
    <x v="1"/>
  </r>
  <r>
    <s v="TX500683"/>
    <x v="6"/>
    <n v="9"/>
    <n v="74.7"/>
    <n v="672.30000000000007"/>
    <x v="29"/>
    <x v="30"/>
    <x v="0"/>
    <x v="0"/>
    <x v="2"/>
    <x v="0"/>
    <x v="8"/>
    <n v="2"/>
    <n v="5"/>
    <x v="0"/>
  </r>
  <r>
    <s v="TX500684"/>
    <x v="6"/>
    <n v="1"/>
    <n v="128.19999999999999"/>
    <n v="128.19999999999999"/>
    <x v="29"/>
    <x v="26"/>
    <x v="0"/>
    <x v="1"/>
    <x v="0"/>
    <x v="0"/>
    <x v="8"/>
    <n v="0"/>
    <n v="5"/>
    <x v="0"/>
  </r>
  <r>
    <s v="TX500685"/>
    <x v="14"/>
    <n v="4"/>
    <n v="26.7"/>
    <n v="106.8"/>
    <x v="29"/>
    <x v="27"/>
    <x v="0"/>
    <x v="1"/>
    <x v="0"/>
    <x v="0"/>
    <x v="8"/>
    <n v="1"/>
    <n v="5"/>
    <x v="0"/>
  </r>
  <r>
    <s v="TX500686"/>
    <x v="17"/>
    <n v="6"/>
    <n v="31.5"/>
    <n v="189"/>
    <x v="29"/>
    <x v="27"/>
    <x v="1"/>
    <x v="2"/>
    <x v="0"/>
    <x v="0"/>
    <x v="17"/>
    <n v="1"/>
    <n v="5"/>
    <x v="1"/>
  </r>
  <r>
    <s v="TX500687"/>
    <x v="3"/>
    <n v="7"/>
    <n v="64.7"/>
    <n v="452.90000000000003"/>
    <x v="29"/>
    <x v="27"/>
    <x v="1"/>
    <x v="0"/>
    <x v="2"/>
    <x v="0"/>
    <x v="9"/>
    <n v="1"/>
    <n v="5"/>
    <x v="1"/>
  </r>
  <r>
    <s v="TX500688"/>
    <x v="5"/>
    <n v="2"/>
    <n v="55.6"/>
    <n v="111.2"/>
    <x v="29"/>
    <x v="33"/>
    <x v="1"/>
    <x v="3"/>
    <x v="0"/>
    <x v="0"/>
    <x v="11"/>
    <n v="3"/>
    <n v="5"/>
    <x v="1"/>
  </r>
  <r>
    <s v="TX500689"/>
    <x v="3"/>
    <n v="2"/>
    <n v="36.200000000000003"/>
    <n v="72.400000000000006"/>
    <x v="29"/>
    <x v="27"/>
    <x v="1"/>
    <x v="3"/>
    <x v="0"/>
    <x v="0"/>
    <x v="11"/>
    <n v="1"/>
    <n v="5"/>
    <x v="1"/>
  </r>
  <r>
    <s v="TX500690"/>
    <x v="0"/>
    <n v="1"/>
    <n v="26.6"/>
    <n v="26.6"/>
    <x v="29"/>
    <x v="27"/>
    <x v="2"/>
    <x v="1"/>
    <x v="1"/>
    <x v="0"/>
    <x v="19"/>
    <n v="1"/>
    <n v="5"/>
    <x v="2"/>
  </r>
  <r>
    <s v="TX500691"/>
    <x v="10"/>
    <n v="4"/>
    <n v="31.5"/>
    <n v="126"/>
    <x v="29"/>
    <x v="30"/>
    <x v="0"/>
    <x v="0"/>
    <x v="0"/>
    <x v="0"/>
    <x v="31"/>
    <n v="2"/>
    <n v="5"/>
    <x v="0"/>
  </r>
  <r>
    <s v="TX500692"/>
    <x v="10"/>
    <n v="1"/>
    <n v="27"/>
    <n v="27"/>
    <x v="29"/>
    <x v="30"/>
    <x v="1"/>
    <x v="1"/>
    <x v="2"/>
    <x v="0"/>
    <x v="13"/>
    <n v="2"/>
    <n v="5"/>
    <x v="1"/>
  </r>
  <r>
    <s v="TX500693"/>
    <x v="4"/>
    <n v="1"/>
    <n v="32"/>
    <n v="32"/>
    <x v="29"/>
    <x v="33"/>
    <x v="0"/>
    <x v="3"/>
    <x v="0"/>
    <x v="0"/>
    <x v="21"/>
    <n v="3"/>
    <n v="5"/>
    <x v="0"/>
  </r>
  <r>
    <s v="TX500694"/>
    <x v="1"/>
    <n v="3"/>
    <n v="48.1"/>
    <n v="144.30000000000001"/>
    <x v="29"/>
    <x v="30"/>
    <x v="0"/>
    <x v="2"/>
    <x v="1"/>
    <x v="0"/>
    <x v="1"/>
    <n v="2"/>
    <n v="5"/>
    <x v="0"/>
  </r>
  <r>
    <s v="TX500695"/>
    <x v="9"/>
    <n v="2"/>
    <n v="43.4"/>
    <n v="86.8"/>
    <x v="29"/>
    <x v="27"/>
    <x v="0"/>
    <x v="1"/>
    <x v="1"/>
    <x v="0"/>
    <x v="22"/>
    <n v="1"/>
    <n v="5"/>
    <x v="0"/>
  </r>
  <r>
    <s v="TX500696"/>
    <x v="6"/>
    <n v="2"/>
    <n v="42.6"/>
    <n v="85.2"/>
    <x v="29"/>
    <x v="33"/>
    <x v="1"/>
    <x v="3"/>
    <x v="0"/>
    <x v="0"/>
    <x v="22"/>
    <n v="3"/>
    <n v="5"/>
    <x v="1"/>
  </r>
  <r>
    <s v="TX500697"/>
    <x v="8"/>
    <n v="2"/>
    <n v="15.9"/>
    <n v="31.8"/>
    <x v="29"/>
    <x v="27"/>
    <x v="1"/>
    <x v="0"/>
    <x v="0"/>
    <x v="0"/>
    <x v="34"/>
    <n v="1"/>
    <n v="5"/>
    <x v="1"/>
  </r>
  <r>
    <s v="TX500698"/>
    <x v="9"/>
    <n v="2"/>
    <n v="63.2"/>
    <n v="126.4"/>
    <x v="29"/>
    <x v="27"/>
    <x v="0"/>
    <x v="1"/>
    <x v="0"/>
    <x v="0"/>
    <x v="3"/>
    <n v="1"/>
    <n v="5"/>
    <x v="0"/>
  </r>
  <r>
    <s v="TX500699"/>
    <x v="7"/>
    <n v="4"/>
    <n v="64.8"/>
    <n v="259.2"/>
    <x v="29"/>
    <x v="30"/>
    <x v="2"/>
    <x v="4"/>
    <x v="1"/>
    <x v="0"/>
    <x v="3"/>
    <n v="2"/>
    <n v="5"/>
    <x v="2"/>
  </r>
  <r>
    <s v="TX500700"/>
    <x v="7"/>
    <n v="3"/>
    <n v="79.8"/>
    <n v="239.39999999999998"/>
    <x v="29"/>
    <x v="27"/>
    <x v="0"/>
    <x v="0"/>
    <x v="0"/>
    <x v="0"/>
    <x v="3"/>
    <n v="1"/>
    <n v="5"/>
    <x v="0"/>
  </r>
  <r>
    <s v="TX500701"/>
    <x v="9"/>
    <n v="1"/>
    <n v="54.4"/>
    <n v="54.4"/>
    <x v="29"/>
    <x v="30"/>
    <x v="1"/>
    <x v="4"/>
    <x v="2"/>
    <x v="0"/>
    <x v="3"/>
    <n v="2"/>
    <n v="5"/>
    <x v="1"/>
  </r>
  <r>
    <s v="TX500702"/>
    <x v="6"/>
    <n v="1"/>
    <n v="87.3"/>
    <n v="87.3"/>
    <x v="29"/>
    <x v="27"/>
    <x v="0"/>
    <x v="1"/>
    <x v="0"/>
    <x v="0"/>
    <x v="3"/>
    <n v="1"/>
    <n v="5"/>
    <x v="0"/>
  </r>
  <r>
    <s v="TX500703"/>
    <x v="8"/>
    <n v="4"/>
    <n v="32.4"/>
    <n v="129.6"/>
    <x v="29"/>
    <x v="26"/>
    <x v="0"/>
    <x v="1"/>
    <x v="0"/>
    <x v="0"/>
    <x v="3"/>
    <n v="0"/>
    <n v="5"/>
    <x v="0"/>
  </r>
  <r>
    <s v="TX500704"/>
    <x v="2"/>
    <n v="1"/>
    <n v="177.4"/>
    <n v="177.4"/>
    <x v="29"/>
    <x v="34"/>
    <x v="0"/>
    <x v="0"/>
    <x v="2"/>
    <x v="0"/>
    <x v="3"/>
    <n v="4"/>
    <n v="5"/>
    <x v="0"/>
  </r>
  <r>
    <s v="TX500705"/>
    <x v="7"/>
    <n v="2"/>
    <n v="70.099999999999994"/>
    <n v="140.19999999999999"/>
    <x v="29"/>
    <x v="27"/>
    <x v="0"/>
    <x v="3"/>
    <x v="1"/>
    <x v="0"/>
    <x v="3"/>
    <n v="1"/>
    <n v="5"/>
    <x v="0"/>
  </r>
  <r>
    <s v="TX500706"/>
    <x v="9"/>
    <n v="6"/>
    <n v="51.1"/>
    <n v="306.60000000000002"/>
    <x v="29"/>
    <x v="27"/>
    <x v="1"/>
    <x v="0"/>
    <x v="0"/>
    <x v="0"/>
    <x v="3"/>
    <n v="1"/>
    <n v="5"/>
    <x v="1"/>
  </r>
  <r>
    <s v="TX500707"/>
    <x v="2"/>
    <n v="5"/>
    <n v="79.900000000000006"/>
    <n v="399.5"/>
    <x v="29"/>
    <x v="30"/>
    <x v="0"/>
    <x v="3"/>
    <x v="2"/>
    <x v="0"/>
    <x v="24"/>
    <n v="2"/>
    <n v="5"/>
    <x v="0"/>
  </r>
  <r>
    <s v="TX500708"/>
    <x v="6"/>
    <n v="1"/>
    <n v="57.6"/>
    <n v="57.6"/>
    <x v="30"/>
    <x v="36"/>
    <x v="0"/>
    <x v="0"/>
    <x v="2"/>
    <x v="0"/>
    <x v="49"/>
    <n v="5"/>
    <n v="5"/>
    <x v="0"/>
  </r>
  <r>
    <s v="TX500709"/>
    <x v="8"/>
    <n v="10"/>
    <n v="59.7"/>
    <n v="597"/>
    <x v="30"/>
    <x v="32"/>
    <x v="0"/>
    <x v="2"/>
    <x v="0"/>
    <x v="0"/>
    <x v="25"/>
    <n v="4"/>
    <n v="5"/>
    <x v="0"/>
  </r>
  <r>
    <s v="TX500710"/>
    <x v="8"/>
    <n v="5"/>
    <n v="30"/>
    <n v="150"/>
    <x v="30"/>
    <x v="33"/>
    <x v="0"/>
    <x v="1"/>
    <x v="0"/>
    <x v="0"/>
    <x v="6"/>
    <n v="2"/>
    <n v="5"/>
    <x v="0"/>
  </r>
  <r>
    <s v="TX500711"/>
    <x v="10"/>
    <n v="2"/>
    <n v="69.2"/>
    <n v="138.4"/>
    <x v="30"/>
    <x v="33"/>
    <x v="2"/>
    <x v="2"/>
    <x v="1"/>
    <x v="0"/>
    <x v="6"/>
    <n v="2"/>
    <n v="5"/>
    <x v="2"/>
  </r>
  <r>
    <s v="TX500712"/>
    <x v="0"/>
    <n v="8"/>
    <n v="10.9"/>
    <n v="87.2"/>
    <x v="30"/>
    <x v="30"/>
    <x v="1"/>
    <x v="0"/>
    <x v="2"/>
    <x v="0"/>
    <x v="6"/>
    <n v="1"/>
    <n v="5"/>
    <x v="1"/>
  </r>
  <r>
    <s v="TX500713"/>
    <x v="16"/>
    <n v="2"/>
    <n v="48.6"/>
    <n v="97.2"/>
    <x v="30"/>
    <x v="32"/>
    <x v="0"/>
    <x v="1"/>
    <x v="2"/>
    <x v="0"/>
    <x v="6"/>
    <n v="4"/>
    <n v="5"/>
    <x v="0"/>
  </r>
  <r>
    <s v="TX500714"/>
    <x v="2"/>
    <n v="2"/>
    <n v="61.1"/>
    <n v="122.2"/>
    <x v="30"/>
    <x v="34"/>
    <x v="1"/>
    <x v="1"/>
    <x v="2"/>
    <x v="0"/>
    <x v="7"/>
    <n v="3"/>
    <n v="5"/>
    <x v="1"/>
  </r>
  <r>
    <s v="TX500715"/>
    <x v="8"/>
    <n v="2"/>
    <n v="23.2"/>
    <n v="46.4"/>
    <x v="30"/>
    <x v="30"/>
    <x v="0"/>
    <x v="3"/>
    <x v="2"/>
    <x v="0"/>
    <x v="8"/>
    <n v="1"/>
    <n v="5"/>
    <x v="0"/>
  </r>
  <r>
    <s v="TX500716"/>
    <x v="12"/>
    <n v="4"/>
    <n v="55.8"/>
    <n v="223.2"/>
    <x v="30"/>
    <x v="30"/>
    <x v="0"/>
    <x v="0"/>
    <x v="0"/>
    <x v="0"/>
    <x v="8"/>
    <n v="1"/>
    <n v="5"/>
    <x v="0"/>
  </r>
  <r>
    <s v="TX500717"/>
    <x v="9"/>
    <n v="4"/>
    <n v="24.8"/>
    <n v="99.2"/>
    <x v="30"/>
    <x v="30"/>
    <x v="1"/>
    <x v="0"/>
    <x v="2"/>
    <x v="0"/>
    <x v="8"/>
    <n v="1"/>
    <n v="5"/>
    <x v="1"/>
  </r>
  <r>
    <s v="TX500718"/>
    <x v="10"/>
    <n v="2"/>
    <n v="27.9"/>
    <n v="55.8"/>
    <x v="30"/>
    <x v="27"/>
    <x v="0"/>
    <x v="2"/>
    <x v="2"/>
    <x v="0"/>
    <x v="8"/>
    <n v="0"/>
    <n v="5"/>
    <x v="0"/>
  </r>
  <r>
    <s v="TX500719"/>
    <x v="10"/>
    <n v="6"/>
    <n v="51.1"/>
    <n v="306.60000000000002"/>
    <x v="30"/>
    <x v="27"/>
    <x v="1"/>
    <x v="3"/>
    <x v="0"/>
    <x v="0"/>
    <x v="8"/>
    <n v="0"/>
    <n v="5"/>
    <x v="1"/>
  </r>
  <r>
    <s v="TX500720"/>
    <x v="17"/>
    <n v="11"/>
    <n v="32.700000000000003"/>
    <n v="359.70000000000005"/>
    <x v="30"/>
    <x v="30"/>
    <x v="0"/>
    <x v="4"/>
    <x v="2"/>
    <x v="0"/>
    <x v="17"/>
    <n v="1"/>
    <n v="5"/>
    <x v="0"/>
  </r>
  <r>
    <s v="TX500721"/>
    <x v="8"/>
    <n v="4"/>
    <n v="22.5"/>
    <n v="90"/>
    <x v="30"/>
    <x v="27"/>
    <x v="0"/>
    <x v="0"/>
    <x v="2"/>
    <x v="0"/>
    <x v="26"/>
    <n v="0"/>
    <n v="5"/>
    <x v="0"/>
  </r>
  <r>
    <s v="TX500722"/>
    <x v="0"/>
    <n v="7"/>
    <n v="14.6"/>
    <n v="102.2"/>
    <x v="30"/>
    <x v="30"/>
    <x v="1"/>
    <x v="2"/>
    <x v="0"/>
    <x v="0"/>
    <x v="41"/>
    <n v="1"/>
    <n v="5"/>
    <x v="1"/>
  </r>
  <r>
    <s v="TX500723"/>
    <x v="5"/>
    <n v="3"/>
    <n v="32.5"/>
    <n v="97.5"/>
    <x v="30"/>
    <x v="34"/>
    <x v="0"/>
    <x v="0"/>
    <x v="0"/>
    <x v="0"/>
    <x v="10"/>
    <n v="3"/>
    <n v="5"/>
    <x v="0"/>
  </r>
  <r>
    <s v="TX500724"/>
    <x v="18"/>
    <n v="1"/>
    <n v="78.099999999999994"/>
    <n v="78.099999999999994"/>
    <x v="30"/>
    <x v="34"/>
    <x v="0"/>
    <x v="0"/>
    <x v="2"/>
    <x v="0"/>
    <x v="11"/>
    <n v="3"/>
    <n v="5"/>
    <x v="0"/>
  </r>
  <r>
    <s v="TX500725"/>
    <x v="12"/>
    <n v="6"/>
    <n v="110.2"/>
    <n v="661.2"/>
    <x v="30"/>
    <x v="27"/>
    <x v="0"/>
    <x v="1"/>
    <x v="4"/>
    <x v="0"/>
    <x v="13"/>
    <n v="0"/>
    <n v="5"/>
    <x v="0"/>
  </r>
  <r>
    <s v="TX500726"/>
    <x v="6"/>
    <n v="3"/>
    <n v="86.3"/>
    <n v="258.89999999999998"/>
    <x v="30"/>
    <x v="33"/>
    <x v="1"/>
    <x v="3"/>
    <x v="0"/>
    <x v="0"/>
    <x v="21"/>
    <n v="2"/>
    <n v="5"/>
    <x v="1"/>
  </r>
  <r>
    <s v="TX500727"/>
    <x v="1"/>
    <n v="6"/>
    <n v="73.599999999999994"/>
    <n v="441.59999999999997"/>
    <x v="30"/>
    <x v="33"/>
    <x v="3"/>
    <x v="3"/>
    <x v="4"/>
    <x v="0"/>
    <x v="44"/>
    <n v="2"/>
    <n v="5"/>
    <x v="3"/>
  </r>
  <r>
    <s v="TX500728"/>
    <x v="6"/>
    <n v="13"/>
    <n v="67.7"/>
    <n v="880.1"/>
    <x v="30"/>
    <x v="33"/>
    <x v="1"/>
    <x v="0"/>
    <x v="2"/>
    <x v="0"/>
    <x v="3"/>
    <n v="2"/>
    <n v="5"/>
    <x v="1"/>
  </r>
  <r>
    <s v="TX500729"/>
    <x v="7"/>
    <n v="6"/>
    <n v="142.19999999999999"/>
    <n v="853.19999999999993"/>
    <x v="30"/>
    <x v="30"/>
    <x v="1"/>
    <x v="2"/>
    <x v="4"/>
    <x v="0"/>
    <x v="3"/>
    <n v="1"/>
    <n v="5"/>
    <x v="1"/>
  </r>
  <r>
    <s v="TX500730"/>
    <x v="1"/>
    <n v="9"/>
    <n v="45.8"/>
    <n v="412.2"/>
    <x v="30"/>
    <x v="33"/>
    <x v="1"/>
    <x v="1"/>
    <x v="2"/>
    <x v="0"/>
    <x v="3"/>
    <n v="2"/>
    <n v="5"/>
    <x v="1"/>
  </r>
  <r>
    <s v="TX500731"/>
    <x v="10"/>
    <n v="2"/>
    <n v="24.2"/>
    <n v="48.4"/>
    <x v="31"/>
    <x v="32"/>
    <x v="1"/>
    <x v="3"/>
    <x v="2"/>
    <x v="0"/>
    <x v="3"/>
    <n v="3"/>
    <n v="5"/>
    <x v="1"/>
  </r>
  <r>
    <s v="TX500732"/>
    <x v="2"/>
    <n v="3"/>
    <n v="144.9"/>
    <n v="434.70000000000005"/>
    <x v="31"/>
    <x v="33"/>
    <x v="3"/>
    <x v="2"/>
    <x v="2"/>
    <x v="0"/>
    <x v="3"/>
    <n v="1"/>
    <n v="5"/>
    <x v="3"/>
  </r>
  <r>
    <s v="TX500733"/>
    <x v="11"/>
    <n v="5"/>
    <n v="32.799999999999997"/>
    <n v="164"/>
    <x v="31"/>
    <x v="32"/>
    <x v="1"/>
    <x v="2"/>
    <x v="0"/>
    <x v="0"/>
    <x v="23"/>
    <n v="3"/>
    <n v="5"/>
    <x v="1"/>
  </r>
  <r>
    <s v="TX500734"/>
    <x v="7"/>
    <n v="10"/>
    <n v="35.700000000000003"/>
    <n v="357"/>
    <x v="31"/>
    <x v="30"/>
    <x v="1"/>
    <x v="0"/>
    <x v="1"/>
    <x v="0"/>
    <x v="6"/>
    <n v="0"/>
    <n v="5"/>
    <x v="1"/>
  </r>
  <r>
    <s v="TX500735"/>
    <x v="9"/>
    <n v="2"/>
    <n v="54.6"/>
    <n v="109.2"/>
    <x v="31"/>
    <x v="33"/>
    <x v="1"/>
    <x v="2"/>
    <x v="0"/>
    <x v="0"/>
    <x v="6"/>
    <n v="1"/>
    <n v="5"/>
    <x v="1"/>
  </r>
  <r>
    <s v="TX500736"/>
    <x v="8"/>
    <n v="2"/>
    <n v="35.700000000000003"/>
    <n v="71.400000000000006"/>
    <x v="31"/>
    <x v="32"/>
    <x v="2"/>
    <x v="0"/>
    <x v="1"/>
    <x v="0"/>
    <x v="6"/>
    <n v="3"/>
    <n v="5"/>
    <x v="2"/>
  </r>
  <r>
    <s v="TX500737"/>
    <x v="10"/>
    <n v="2"/>
    <n v="52.4"/>
    <n v="104.8"/>
    <x v="31"/>
    <x v="30"/>
    <x v="1"/>
    <x v="0"/>
    <x v="3"/>
    <x v="0"/>
    <x v="6"/>
    <n v="0"/>
    <n v="5"/>
    <x v="1"/>
  </r>
  <r>
    <s v="TX500738"/>
    <x v="8"/>
    <n v="14"/>
    <n v="16.2"/>
    <n v="226.79999999999998"/>
    <x v="31"/>
    <x v="33"/>
    <x v="2"/>
    <x v="0"/>
    <x v="1"/>
    <x v="0"/>
    <x v="8"/>
    <n v="1"/>
    <n v="5"/>
    <x v="2"/>
  </r>
  <r>
    <s v="TX500739"/>
    <x v="6"/>
    <n v="47"/>
    <n v="42.8"/>
    <n v="2011.6"/>
    <x v="31"/>
    <x v="33"/>
    <x v="1"/>
    <x v="0"/>
    <x v="0"/>
    <x v="0"/>
    <x v="8"/>
    <n v="1"/>
    <n v="5"/>
    <x v="1"/>
  </r>
  <r>
    <s v="TX500740"/>
    <x v="6"/>
    <n v="9"/>
    <n v="144.4"/>
    <n v="1299.6000000000001"/>
    <x v="31"/>
    <x v="32"/>
    <x v="1"/>
    <x v="4"/>
    <x v="0"/>
    <x v="0"/>
    <x v="8"/>
    <n v="3"/>
    <n v="5"/>
    <x v="1"/>
  </r>
  <r>
    <s v="TX500741"/>
    <x v="3"/>
    <n v="36"/>
    <n v="30.6"/>
    <n v="1101.6000000000001"/>
    <x v="31"/>
    <x v="36"/>
    <x v="1"/>
    <x v="2"/>
    <x v="2"/>
    <x v="0"/>
    <x v="11"/>
    <n v="4"/>
    <n v="5"/>
    <x v="1"/>
  </r>
  <r>
    <s v="TX500742"/>
    <x v="2"/>
    <n v="2"/>
    <n v="117.5"/>
    <n v="235"/>
    <x v="31"/>
    <x v="33"/>
    <x v="0"/>
    <x v="0"/>
    <x v="0"/>
    <x v="0"/>
    <x v="19"/>
    <n v="1"/>
    <n v="5"/>
    <x v="0"/>
  </r>
  <r>
    <s v="TX500743"/>
    <x v="6"/>
    <n v="2"/>
    <n v="105.7"/>
    <n v="211.4"/>
    <x v="31"/>
    <x v="33"/>
    <x v="1"/>
    <x v="2"/>
    <x v="2"/>
    <x v="0"/>
    <x v="21"/>
    <n v="1"/>
    <n v="5"/>
    <x v="1"/>
  </r>
  <r>
    <s v="TX500744"/>
    <x v="3"/>
    <n v="3"/>
    <n v="133.69999999999999"/>
    <n v="401.09999999999997"/>
    <x v="31"/>
    <x v="33"/>
    <x v="2"/>
    <x v="4"/>
    <x v="2"/>
    <x v="0"/>
    <x v="21"/>
    <n v="1"/>
    <n v="5"/>
    <x v="2"/>
  </r>
  <r>
    <s v="TX500745"/>
    <x v="4"/>
    <n v="5"/>
    <n v="46.8"/>
    <n v="234"/>
    <x v="32"/>
    <x v="37"/>
    <x v="1"/>
    <x v="0"/>
    <x v="1"/>
    <x v="0"/>
    <x v="21"/>
    <n v="8"/>
    <n v="6"/>
    <x v="1"/>
  </r>
  <r>
    <s v="TX500746"/>
    <x v="10"/>
    <n v="3"/>
    <n v="58.4"/>
    <n v="175.2"/>
    <x v="32"/>
    <x v="32"/>
    <x v="1"/>
    <x v="0"/>
    <x v="0"/>
    <x v="0"/>
    <x v="1"/>
    <n v="2"/>
    <n v="6"/>
    <x v="1"/>
  </r>
  <r>
    <s v="TX500747"/>
    <x v="6"/>
    <n v="9"/>
    <n v="65.099999999999994"/>
    <n v="585.9"/>
    <x v="32"/>
    <x v="38"/>
    <x v="0"/>
    <x v="1"/>
    <x v="2"/>
    <x v="0"/>
    <x v="22"/>
    <n v="4"/>
    <n v="6"/>
    <x v="0"/>
  </r>
  <r>
    <s v="TX500748"/>
    <x v="8"/>
    <n v="1"/>
    <n v="18.600000000000001"/>
    <n v="18.600000000000001"/>
    <x v="32"/>
    <x v="36"/>
    <x v="1"/>
    <x v="0"/>
    <x v="4"/>
    <x v="0"/>
    <x v="22"/>
    <n v="3"/>
    <n v="6"/>
    <x v="1"/>
  </r>
  <r>
    <s v="TX500749"/>
    <x v="1"/>
    <n v="11"/>
    <n v="92.3"/>
    <n v="1015.3"/>
    <x v="32"/>
    <x v="32"/>
    <x v="0"/>
    <x v="1"/>
    <x v="0"/>
    <x v="0"/>
    <x v="3"/>
    <n v="2"/>
    <n v="6"/>
    <x v="0"/>
  </r>
  <r>
    <s v="TX500750"/>
    <x v="6"/>
    <n v="3"/>
    <n v="81.7"/>
    <n v="245.10000000000002"/>
    <x v="32"/>
    <x v="34"/>
    <x v="2"/>
    <x v="4"/>
    <x v="4"/>
    <x v="0"/>
    <x v="3"/>
    <n v="1"/>
    <n v="6"/>
    <x v="2"/>
  </r>
  <r>
    <s v="TX500751"/>
    <x v="8"/>
    <n v="2"/>
    <n v="40.9"/>
    <n v="81.8"/>
    <x v="32"/>
    <x v="32"/>
    <x v="0"/>
    <x v="0"/>
    <x v="1"/>
    <x v="0"/>
    <x v="3"/>
    <n v="2"/>
    <n v="6"/>
    <x v="0"/>
  </r>
  <r>
    <s v="TX500752"/>
    <x v="6"/>
    <n v="4"/>
    <n v="43.2"/>
    <n v="172.8"/>
    <x v="32"/>
    <x v="39"/>
    <x v="1"/>
    <x v="0"/>
    <x v="1"/>
    <x v="0"/>
    <x v="3"/>
    <n v="6"/>
    <n v="6"/>
    <x v="1"/>
  </r>
  <r>
    <s v="TX500753"/>
    <x v="8"/>
    <n v="11"/>
    <n v="25.8"/>
    <n v="283.8"/>
    <x v="32"/>
    <x v="36"/>
    <x v="0"/>
    <x v="2"/>
    <x v="1"/>
    <x v="0"/>
    <x v="3"/>
    <n v="3"/>
    <n v="6"/>
    <x v="0"/>
  </r>
  <r>
    <s v="TX500754"/>
    <x v="15"/>
    <n v="4"/>
    <n v="36.4"/>
    <n v="145.6"/>
    <x v="32"/>
    <x v="34"/>
    <x v="0"/>
    <x v="0"/>
    <x v="0"/>
    <x v="0"/>
    <x v="3"/>
    <n v="1"/>
    <n v="6"/>
    <x v="0"/>
  </r>
  <r>
    <s v="TX500755"/>
    <x v="10"/>
    <n v="1"/>
    <n v="59.1"/>
    <n v="59.1"/>
    <x v="32"/>
    <x v="34"/>
    <x v="1"/>
    <x v="2"/>
    <x v="0"/>
    <x v="0"/>
    <x v="7"/>
    <n v="1"/>
    <n v="6"/>
    <x v="1"/>
  </r>
  <r>
    <s v="TX500756"/>
    <x v="2"/>
    <n v="17"/>
    <n v="74.5"/>
    <n v="1266.5"/>
    <x v="32"/>
    <x v="32"/>
    <x v="0"/>
    <x v="4"/>
    <x v="0"/>
    <x v="0"/>
    <x v="18"/>
    <n v="2"/>
    <n v="6"/>
    <x v="0"/>
  </r>
  <r>
    <s v="TX500757"/>
    <x v="5"/>
    <n v="1"/>
    <n v="72.8"/>
    <n v="72.8"/>
    <x v="32"/>
    <x v="34"/>
    <x v="1"/>
    <x v="0"/>
    <x v="1"/>
    <x v="0"/>
    <x v="19"/>
    <n v="1"/>
    <n v="6"/>
    <x v="1"/>
  </r>
  <r>
    <s v="TX500758"/>
    <x v="6"/>
    <n v="4"/>
    <n v="137.30000000000001"/>
    <n v="549.20000000000005"/>
    <x v="32"/>
    <x v="36"/>
    <x v="1"/>
    <x v="0"/>
    <x v="0"/>
    <x v="0"/>
    <x v="13"/>
    <n v="3"/>
    <n v="6"/>
    <x v="1"/>
  </r>
  <r>
    <s v="TX500759"/>
    <x v="1"/>
    <n v="3"/>
    <n v="48.7"/>
    <n v="146.10000000000002"/>
    <x v="32"/>
    <x v="31"/>
    <x v="1"/>
    <x v="0"/>
    <x v="1"/>
    <x v="0"/>
    <x v="21"/>
    <n v="5"/>
    <n v="6"/>
    <x v="1"/>
  </r>
  <r>
    <s v="TX500760"/>
    <x v="6"/>
    <n v="4"/>
    <n v="53.7"/>
    <n v="214.8"/>
    <x v="32"/>
    <x v="38"/>
    <x v="0"/>
    <x v="1"/>
    <x v="4"/>
    <x v="0"/>
    <x v="2"/>
    <n v="4"/>
    <n v="6"/>
    <x v="0"/>
  </r>
  <r>
    <s v="TX500761"/>
    <x v="2"/>
    <n v="7"/>
    <n v="100.9"/>
    <n v="706.30000000000007"/>
    <x v="32"/>
    <x v="32"/>
    <x v="1"/>
    <x v="0"/>
    <x v="1"/>
    <x v="0"/>
    <x v="2"/>
    <n v="2"/>
    <n v="6"/>
    <x v="1"/>
  </r>
  <r>
    <s v="TX500762"/>
    <x v="10"/>
    <n v="2"/>
    <n v="41.8"/>
    <n v="83.6"/>
    <x v="32"/>
    <x v="38"/>
    <x v="0"/>
    <x v="3"/>
    <x v="2"/>
    <x v="0"/>
    <x v="22"/>
    <n v="4"/>
    <n v="6"/>
    <x v="0"/>
  </r>
  <r>
    <s v="TX500763"/>
    <x v="4"/>
    <n v="8"/>
    <n v="28.5"/>
    <n v="228"/>
    <x v="32"/>
    <x v="32"/>
    <x v="0"/>
    <x v="2"/>
    <x v="1"/>
    <x v="0"/>
    <x v="3"/>
    <n v="2"/>
    <n v="6"/>
    <x v="0"/>
  </r>
  <r>
    <s v="TX500764"/>
    <x v="7"/>
    <n v="4"/>
    <n v="88.9"/>
    <n v="355.6"/>
    <x v="32"/>
    <x v="36"/>
    <x v="1"/>
    <x v="0"/>
    <x v="2"/>
    <x v="0"/>
    <x v="3"/>
    <n v="3"/>
    <n v="6"/>
    <x v="1"/>
  </r>
  <r>
    <s v="TX500765"/>
    <x v="6"/>
    <n v="1"/>
    <n v="62.5"/>
    <n v="62.5"/>
    <x v="32"/>
    <x v="40"/>
    <x v="1"/>
    <x v="0"/>
    <x v="2"/>
    <x v="0"/>
    <x v="3"/>
    <n v="9"/>
    <n v="6"/>
    <x v="1"/>
  </r>
  <r>
    <s v="TX500766"/>
    <x v="1"/>
    <n v="3"/>
    <n v="46.9"/>
    <n v="140.69999999999999"/>
    <x v="32"/>
    <x v="34"/>
    <x v="0"/>
    <x v="0"/>
    <x v="2"/>
    <x v="0"/>
    <x v="3"/>
    <n v="1"/>
    <n v="6"/>
    <x v="0"/>
  </r>
  <r>
    <s v="TX500767"/>
    <x v="8"/>
    <n v="3"/>
    <n v="45"/>
    <n v="135"/>
    <x v="32"/>
    <x v="41"/>
    <x v="0"/>
    <x v="1"/>
    <x v="0"/>
    <x v="0"/>
    <x v="3"/>
    <n v="14"/>
    <n v="6"/>
    <x v="0"/>
  </r>
  <r>
    <s v="TX500768"/>
    <x v="6"/>
    <n v="3"/>
    <n v="45.2"/>
    <n v="135.60000000000002"/>
    <x v="32"/>
    <x v="32"/>
    <x v="0"/>
    <x v="4"/>
    <x v="2"/>
    <x v="0"/>
    <x v="3"/>
    <n v="2"/>
    <n v="6"/>
    <x v="0"/>
  </r>
  <r>
    <s v="TX500769"/>
    <x v="4"/>
    <n v="2"/>
    <n v="60.1"/>
    <n v="120.2"/>
    <x v="32"/>
    <x v="34"/>
    <x v="1"/>
    <x v="0"/>
    <x v="2"/>
    <x v="0"/>
    <x v="3"/>
    <n v="1"/>
    <n v="6"/>
    <x v="1"/>
  </r>
  <r>
    <s v="TX500770"/>
    <x v="12"/>
    <n v="4"/>
    <n v="118.7"/>
    <n v="474.8"/>
    <x v="32"/>
    <x v="32"/>
    <x v="1"/>
    <x v="0"/>
    <x v="0"/>
    <x v="0"/>
    <x v="3"/>
    <n v="2"/>
    <n v="6"/>
    <x v="1"/>
  </r>
  <r>
    <s v="TX500771"/>
    <x v="9"/>
    <n v="1"/>
    <n v="57.8"/>
    <n v="57.8"/>
    <x v="32"/>
    <x v="40"/>
    <x v="1"/>
    <x v="1"/>
    <x v="0"/>
    <x v="0"/>
    <x v="3"/>
    <n v="9"/>
    <n v="6"/>
    <x v="1"/>
  </r>
  <r>
    <s v="TX500772"/>
    <x v="4"/>
    <n v="1"/>
    <n v="19.5"/>
    <n v="19.5"/>
    <x v="32"/>
    <x v="34"/>
    <x v="0"/>
    <x v="1"/>
    <x v="1"/>
    <x v="0"/>
    <x v="3"/>
    <n v="1"/>
    <n v="6"/>
    <x v="0"/>
  </r>
  <r>
    <s v="TX500773"/>
    <x v="12"/>
    <n v="1"/>
    <n v="42.6"/>
    <n v="42.6"/>
    <x v="32"/>
    <x v="34"/>
    <x v="0"/>
    <x v="0"/>
    <x v="1"/>
    <x v="0"/>
    <x v="3"/>
    <n v="1"/>
    <n v="6"/>
    <x v="0"/>
  </r>
  <r>
    <s v="TX500774"/>
    <x v="6"/>
    <n v="2"/>
    <n v="74.8"/>
    <n v="149.6"/>
    <x v="32"/>
    <x v="34"/>
    <x v="1"/>
    <x v="3"/>
    <x v="2"/>
    <x v="0"/>
    <x v="37"/>
    <n v="1"/>
    <n v="6"/>
    <x v="1"/>
  </r>
  <r>
    <s v="TX500775"/>
    <x v="8"/>
    <n v="3"/>
    <n v="32.5"/>
    <n v="97.5"/>
    <x v="32"/>
    <x v="34"/>
    <x v="0"/>
    <x v="2"/>
    <x v="4"/>
    <x v="0"/>
    <x v="16"/>
    <n v="1"/>
    <n v="6"/>
    <x v="0"/>
  </r>
  <r>
    <s v="TX500776"/>
    <x v="2"/>
    <n v="3"/>
    <n v="60.5"/>
    <n v="181.5"/>
    <x v="32"/>
    <x v="33"/>
    <x v="1"/>
    <x v="1"/>
    <x v="2"/>
    <x v="0"/>
    <x v="25"/>
    <n v="0"/>
    <n v="6"/>
    <x v="1"/>
  </r>
  <r>
    <s v="TX500777"/>
    <x v="1"/>
    <n v="7"/>
    <n v="57.2"/>
    <n v="400.40000000000003"/>
    <x v="32"/>
    <x v="32"/>
    <x v="2"/>
    <x v="2"/>
    <x v="0"/>
    <x v="0"/>
    <x v="25"/>
    <n v="2"/>
    <n v="6"/>
    <x v="2"/>
  </r>
  <r>
    <s v="TX500778"/>
    <x v="16"/>
    <n v="2"/>
    <n v="112"/>
    <n v="224"/>
    <x v="32"/>
    <x v="34"/>
    <x v="1"/>
    <x v="1"/>
    <x v="1"/>
    <x v="0"/>
    <x v="5"/>
    <n v="1"/>
    <n v="6"/>
    <x v="1"/>
  </r>
  <r>
    <s v="TX500779"/>
    <x v="7"/>
    <n v="10"/>
    <n v="49"/>
    <n v="490"/>
    <x v="32"/>
    <x v="34"/>
    <x v="3"/>
    <x v="2"/>
    <x v="1"/>
    <x v="0"/>
    <x v="6"/>
    <n v="1"/>
    <n v="6"/>
    <x v="3"/>
  </r>
  <r>
    <s v="TX500780"/>
    <x v="0"/>
    <n v="2"/>
    <n v="33.700000000000003"/>
    <n v="67.400000000000006"/>
    <x v="32"/>
    <x v="38"/>
    <x v="1"/>
    <x v="3"/>
    <x v="0"/>
    <x v="0"/>
    <x v="6"/>
    <n v="4"/>
    <n v="6"/>
    <x v="1"/>
  </r>
  <r>
    <s v="TX500781"/>
    <x v="4"/>
    <n v="3"/>
    <n v="35.6"/>
    <n v="106.80000000000001"/>
    <x v="32"/>
    <x v="36"/>
    <x v="1"/>
    <x v="0"/>
    <x v="2"/>
    <x v="0"/>
    <x v="6"/>
    <n v="3"/>
    <n v="6"/>
    <x v="1"/>
  </r>
  <r>
    <s v="TX500782"/>
    <x v="4"/>
    <n v="35"/>
    <n v="30.4"/>
    <n v="1064"/>
    <x v="33"/>
    <x v="34"/>
    <x v="1"/>
    <x v="0"/>
    <x v="1"/>
    <x v="0"/>
    <x v="7"/>
    <n v="0"/>
    <n v="6"/>
    <x v="1"/>
  </r>
  <r>
    <s v="TX500783"/>
    <x v="10"/>
    <n v="12"/>
    <n v="50.2"/>
    <n v="602.40000000000009"/>
    <x v="33"/>
    <x v="32"/>
    <x v="0"/>
    <x v="4"/>
    <x v="0"/>
    <x v="0"/>
    <x v="8"/>
    <n v="1"/>
    <n v="6"/>
    <x v="0"/>
  </r>
  <r>
    <s v="TX500784"/>
    <x v="1"/>
    <n v="2"/>
    <n v="43.7"/>
    <n v="87.4"/>
    <x v="33"/>
    <x v="36"/>
    <x v="1"/>
    <x v="0"/>
    <x v="0"/>
    <x v="0"/>
    <x v="8"/>
    <n v="2"/>
    <n v="6"/>
    <x v="1"/>
  </r>
  <r>
    <s v="TX500785"/>
    <x v="10"/>
    <n v="1"/>
    <n v="33.299999999999997"/>
    <n v="33.299999999999997"/>
    <x v="33"/>
    <x v="32"/>
    <x v="1"/>
    <x v="2"/>
    <x v="1"/>
    <x v="0"/>
    <x v="8"/>
    <n v="1"/>
    <n v="6"/>
    <x v="1"/>
  </r>
  <r>
    <s v="TX500786"/>
    <x v="8"/>
    <n v="4"/>
    <n v="15.1"/>
    <n v="60.4"/>
    <x v="33"/>
    <x v="36"/>
    <x v="1"/>
    <x v="4"/>
    <x v="2"/>
    <x v="0"/>
    <x v="8"/>
    <n v="2"/>
    <n v="6"/>
    <x v="1"/>
  </r>
  <r>
    <s v="TX500787"/>
    <x v="6"/>
    <n v="5"/>
    <n v="118.2"/>
    <n v="591"/>
    <x v="33"/>
    <x v="32"/>
    <x v="1"/>
    <x v="3"/>
    <x v="4"/>
    <x v="0"/>
    <x v="8"/>
    <n v="1"/>
    <n v="6"/>
    <x v="1"/>
  </r>
  <r>
    <s v="TX500788"/>
    <x v="10"/>
    <n v="3"/>
    <n v="28.9"/>
    <n v="86.699999999999989"/>
    <x v="33"/>
    <x v="36"/>
    <x v="1"/>
    <x v="2"/>
    <x v="1"/>
    <x v="0"/>
    <x v="8"/>
    <n v="2"/>
    <n v="6"/>
    <x v="1"/>
  </r>
  <r>
    <s v="TX500789"/>
    <x v="4"/>
    <n v="3"/>
    <n v="55.6"/>
    <n v="166.8"/>
    <x v="33"/>
    <x v="32"/>
    <x v="0"/>
    <x v="0"/>
    <x v="1"/>
    <x v="0"/>
    <x v="8"/>
    <n v="1"/>
    <n v="6"/>
    <x v="0"/>
  </r>
  <r>
    <s v="TX500790"/>
    <x v="9"/>
    <n v="4"/>
    <n v="25.6"/>
    <n v="102.4"/>
    <x v="33"/>
    <x v="36"/>
    <x v="1"/>
    <x v="0"/>
    <x v="1"/>
    <x v="0"/>
    <x v="8"/>
    <n v="2"/>
    <n v="6"/>
    <x v="1"/>
  </r>
  <r>
    <s v="TX500791"/>
    <x v="7"/>
    <n v="3"/>
    <n v="31.3"/>
    <n v="93.9"/>
    <x v="33"/>
    <x v="32"/>
    <x v="0"/>
    <x v="0"/>
    <x v="0"/>
    <x v="0"/>
    <x v="17"/>
    <n v="1"/>
    <n v="6"/>
    <x v="0"/>
  </r>
  <r>
    <s v="TX500792"/>
    <x v="0"/>
    <n v="3"/>
    <n v="22.1"/>
    <n v="66.300000000000011"/>
    <x v="33"/>
    <x v="31"/>
    <x v="0"/>
    <x v="0"/>
    <x v="0"/>
    <x v="0"/>
    <x v="17"/>
    <n v="4"/>
    <n v="6"/>
    <x v="0"/>
  </r>
  <r>
    <s v="TX500793"/>
    <x v="2"/>
    <n v="14"/>
    <n v="99.4"/>
    <n v="1391.6000000000001"/>
    <x v="33"/>
    <x v="32"/>
    <x v="0"/>
    <x v="1"/>
    <x v="0"/>
    <x v="0"/>
    <x v="11"/>
    <n v="1"/>
    <n v="6"/>
    <x v="0"/>
  </r>
  <r>
    <s v="TX500794"/>
    <x v="7"/>
    <n v="6"/>
    <n v="66.599999999999994"/>
    <n v="399.59999999999997"/>
    <x v="33"/>
    <x v="32"/>
    <x v="1"/>
    <x v="0"/>
    <x v="0"/>
    <x v="0"/>
    <x v="11"/>
    <n v="1"/>
    <n v="6"/>
    <x v="1"/>
  </r>
  <r>
    <s v="TX500795"/>
    <x v="8"/>
    <n v="2"/>
    <n v="22.6"/>
    <n v="45.2"/>
    <x v="33"/>
    <x v="38"/>
    <x v="0"/>
    <x v="0"/>
    <x v="0"/>
    <x v="0"/>
    <x v="11"/>
    <n v="3"/>
    <n v="6"/>
    <x v="0"/>
  </r>
  <r>
    <s v="TX500796"/>
    <x v="2"/>
    <n v="18"/>
    <n v="66.8"/>
    <n v="1202.3999999999999"/>
    <x v="33"/>
    <x v="32"/>
    <x v="1"/>
    <x v="0"/>
    <x v="4"/>
    <x v="0"/>
    <x v="13"/>
    <n v="1"/>
    <n v="6"/>
    <x v="1"/>
  </r>
  <r>
    <s v="TX500797"/>
    <x v="0"/>
    <n v="4"/>
    <n v="20.8"/>
    <n v="83.2"/>
    <x v="33"/>
    <x v="37"/>
    <x v="0"/>
    <x v="1"/>
    <x v="4"/>
    <x v="0"/>
    <x v="1"/>
    <n v="7"/>
    <n v="6"/>
    <x v="0"/>
  </r>
  <r>
    <s v="TX500798"/>
    <x v="2"/>
    <n v="7"/>
    <n v="102.5"/>
    <n v="717.5"/>
    <x v="33"/>
    <x v="32"/>
    <x v="1"/>
    <x v="4"/>
    <x v="2"/>
    <x v="0"/>
    <x v="3"/>
    <n v="1"/>
    <n v="6"/>
    <x v="1"/>
  </r>
  <r>
    <s v="TX500799"/>
    <x v="0"/>
    <n v="18"/>
    <n v="24.8"/>
    <n v="446.40000000000003"/>
    <x v="33"/>
    <x v="31"/>
    <x v="1"/>
    <x v="0"/>
    <x v="0"/>
    <x v="0"/>
    <x v="3"/>
    <n v="4"/>
    <n v="6"/>
    <x v="1"/>
  </r>
  <r>
    <s v="TX500800"/>
    <x v="4"/>
    <n v="31"/>
    <n v="31.4"/>
    <n v="973.4"/>
    <x v="33"/>
    <x v="32"/>
    <x v="1"/>
    <x v="3"/>
    <x v="0"/>
    <x v="0"/>
    <x v="3"/>
    <n v="1"/>
    <n v="6"/>
    <x v="1"/>
  </r>
  <r>
    <s v="TX500801"/>
    <x v="9"/>
    <n v="5"/>
    <n v="59.3"/>
    <n v="296.5"/>
    <x v="33"/>
    <x v="38"/>
    <x v="0"/>
    <x v="1"/>
    <x v="2"/>
    <x v="0"/>
    <x v="43"/>
    <n v="3"/>
    <n v="6"/>
    <x v="0"/>
  </r>
  <r>
    <s v="TX500802"/>
    <x v="11"/>
    <n v="6"/>
    <n v="39"/>
    <n v="234"/>
    <x v="33"/>
    <x v="38"/>
    <x v="0"/>
    <x v="1"/>
    <x v="0"/>
    <x v="0"/>
    <x v="6"/>
    <n v="3"/>
    <n v="6"/>
    <x v="0"/>
  </r>
  <r>
    <s v="TX500803"/>
    <x v="5"/>
    <n v="6"/>
    <n v="98.6"/>
    <n v="591.59999999999991"/>
    <x v="33"/>
    <x v="36"/>
    <x v="1"/>
    <x v="1"/>
    <x v="0"/>
    <x v="0"/>
    <x v="6"/>
    <n v="2"/>
    <n v="6"/>
    <x v="1"/>
  </r>
  <r>
    <s v="TX500804"/>
    <x v="8"/>
    <n v="1"/>
    <n v="20"/>
    <n v="20"/>
    <x v="34"/>
    <x v="36"/>
    <x v="0"/>
    <x v="3"/>
    <x v="2"/>
    <x v="0"/>
    <x v="8"/>
    <n v="1"/>
    <n v="6"/>
    <x v="0"/>
  </r>
  <r>
    <s v="TX500805"/>
    <x v="1"/>
    <n v="2"/>
    <n v="42.9"/>
    <n v="85.8"/>
    <x v="34"/>
    <x v="38"/>
    <x v="1"/>
    <x v="0"/>
    <x v="2"/>
    <x v="0"/>
    <x v="8"/>
    <n v="2"/>
    <n v="6"/>
    <x v="1"/>
  </r>
  <r>
    <s v="TX500806"/>
    <x v="7"/>
    <n v="7"/>
    <n v="55.6"/>
    <n v="389.2"/>
    <x v="34"/>
    <x v="38"/>
    <x v="1"/>
    <x v="2"/>
    <x v="1"/>
    <x v="0"/>
    <x v="8"/>
    <n v="2"/>
    <n v="6"/>
    <x v="1"/>
  </r>
  <r>
    <s v="TX500807"/>
    <x v="8"/>
    <n v="4"/>
    <n v="19.2"/>
    <n v="76.8"/>
    <x v="34"/>
    <x v="35"/>
    <x v="1"/>
    <x v="0"/>
    <x v="0"/>
    <x v="0"/>
    <x v="41"/>
    <n v="5"/>
    <n v="6"/>
    <x v="1"/>
  </r>
  <r>
    <s v="TX500808"/>
    <x v="5"/>
    <n v="2"/>
    <n v="28.8"/>
    <n v="57.6"/>
    <x v="34"/>
    <x v="38"/>
    <x v="0"/>
    <x v="1"/>
    <x v="0"/>
    <x v="0"/>
    <x v="18"/>
    <n v="2"/>
    <n v="6"/>
    <x v="0"/>
  </r>
  <r>
    <s v="TX500809"/>
    <x v="4"/>
    <n v="1"/>
    <n v="29.7"/>
    <n v="29.7"/>
    <x v="34"/>
    <x v="38"/>
    <x v="1"/>
    <x v="2"/>
    <x v="4"/>
    <x v="0"/>
    <x v="20"/>
    <n v="2"/>
    <n v="6"/>
    <x v="1"/>
  </r>
  <r>
    <s v="TX500810"/>
    <x v="6"/>
    <n v="6"/>
    <n v="63.3"/>
    <n v="379.79999999999995"/>
    <x v="34"/>
    <x v="36"/>
    <x v="2"/>
    <x v="0"/>
    <x v="2"/>
    <x v="0"/>
    <x v="21"/>
    <n v="1"/>
    <n v="6"/>
    <x v="2"/>
  </r>
  <r>
    <s v="TX500811"/>
    <x v="4"/>
    <n v="1"/>
    <n v="46"/>
    <n v="46"/>
    <x v="34"/>
    <x v="36"/>
    <x v="1"/>
    <x v="0"/>
    <x v="2"/>
    <x v="0"/>
    <x v="21"/>
    <n v="1"/>
    <n v="6"/>
    <x v="1"/>
  </r>
  <r>
    <s v="TX500812"/>
    <x v="11"/>
    <n v="3"/>
    <n v="38"/>
    <n v="114"/>
    <x v="34"/>
    <x v="38"/>
    <x v="1"/>
    <x v="1"/>
    <x v="2"/>
    <x v="0"/>
    <x v="21"/>
    <n v="2"/>
    <n v="6"/>
    <x v="1"/>
  </r>
  <r>
    <s v="TX500813"/>
    <x v="10"/>
    <n v="13"/>
    <n v="34.6"/>
    <n v="449.8"/>
    <x v="34"/>
    <x v="38"/>
    <x v="1"/>
    <x v="0"/>
    <x v="1"/>
    <x v="0"/>
    <x v="21"/>
    <n v="2"/>
    <n v="6"/>
    <x v="1"/>
  </r>
  <r>
    <s v="TX500814"/>
    <x v="3"/>
    <n v="10"/>
    <n v="79.7"/>
    <n v="797"/>
    <x v="34"/>
    <x v="36"/>
    <x v="1"/>
    <x v="4"/>
    <x v="1"/>
    <x v="0"/>
    <x v="21"/>
    <n v="1"/>
    <n v="6"/>
    <x v="1"/>
  </r>
  <r>
    <s v="TX500815"/>
    <x v="8"/>
    <n v="8"/>
    <n v="30.5"/>
    <n v="244"/>
    <x v="34"/>
    <x v="39"/>
    <x v="0"/>
    <x v="3"/>
    <x v="0"/>
    <x v="0"/>
    <x v="1"/>
    <n v="4"/>
    <n v="6"/>
    <x v="0"/>
  </r>
  <r>
    <s v="TX500816"/>
    <x v="0"/>
    <n v="2"/>
    <n v="20.8"/>
    <n v="41.6"/>
    <x v="34"/>
    <x v="36"/>
    <x v="1"/>
    <x v="0"/>
    <x v="0"/>
    <x v="0"/>
    <x v="2"/>
    <n v="1"/>
    <n v="6"/>
    <x v="1"/>
  </r>
  <r>
    <s v="TX500817"/>
    <x v="11"/>
    <n v="7"/>
    <n v="48.5"/>
    <n v="339.5"/>
    <x v="34"/>
    <x v="39"/>
    <x v="1"/>
    <x v="2"/>
    <x v="2"/>
    <x v="0"/>
    <x v="2"/>
    <n v="4"/>
    <n v="6"/>
    <x v="1"/>
  </r>
  <r>
    <s v="TX500818"/>
    <x v="2"/>
    <n v="4"/>
    <n v="61.8"/>
    <n v="247.2"/>
    <x v="34"/>
    <x v="39"/>
    <x v="1"/>
    <x v="4"/>
    <x v="0"/>
    <x v="0"/>
    <x v="22"/>
    <n v="4"/>
    <n v="6"/>
    <x v="1"/>
  </r>
  <r>
    <s v="TX500819"/>
    <x v="10"/>
    <n v="1"/>
    <n v="46.1"/>
    <n v="46.1"/>
    <x v="34"/>
    <x v="36"/>
    <x v="3"/>
    <x v="2"/>
    <x v="0"/>
    <x v="0"/>
    <x v="3"/>
    <n v="1"/>
    <n v="6"/>
    <x v="3"/>
  </r>
  <r>
    <s v="TX500820"/>
    <x v="4"/>
    <n v="6"/>
    <n v="44"/>
    <n v="264"/>
    <x v="34"/>
    <x v="36"/>
    <x v="1"/>
    <x v="0"/>
    <x v="0"/>
    <x v="0"/>
    <x v="3"/>
    <n v="1"/>
    <n v="6"/>
    <x v="1"/>
  </r>
  <r>
    <s v="TX500821"/>
    <x v="18"/>
    <n v="2"/>
    <n v="95.7"/>
    <n v="191.4"/>
    <x v="34"/>
    <x v="37"/>
    <x v="1"/>
    <x v="3"/>
    <x v="2"/>
    <x v="0"/>
    <x v="3"/>
    <n v="6"/>
    <n v="6"/>
    <x v="1"/>
  </r>
  <r>
    <s v="TX500822"/>
    <x v="7"/>
    <n v="5"/>
    <n v="46.4"/>
    <n v="232"/>
    <x v="34"/>
    <x v="31"/>
    <x v="1"/>
    <x v="0"/>
    <x v="0"/>
    <x v="0"/>
    <x v="3"/>
    <n v="3"/>
    <n v="6"/>
    <x v="1"/>
  </r>
  <r>
    <s v="TX500823"/>
    <x v="6"/>
    <n v="2"/>
    <n v="47.2"/>
    <n v="94.4"/>
    <x v="34"/>
    <x v="38"/>
    <x v="1"/>
    <x v="0"/>
    <x v="2"/>
    <x v="0"/>
    <x v="3"/>
    <n v="2"/>
    <n v="6"/>
    <x v="1"/>
  </r>
  <r>
    <s v="TX500824"/>
    <x v="7"/>
    <n v="2"/>
    <n v="58.6"/>
    <n v="117.2"/>
    <x v="34"/>
    <x v="36"/>
    <x v="1"/>
    <x v="2"/>
    <x v="1"/>
    <x v="0"/>
    <x v="3"/>
    <n v="1"/>
    <n v="6"/>
    <x v="1"/>
  </r>
  <r>
    <s v="TX500825"/>
    <x v="4"/>
    <n v="3"/>
    <n v="57"/>
    <n v="171"/>
    <x v="34"/>
    <x v="36"/>
    <x v="0"/>
    <x v="0"/>
    <x v="2"/>
    <x v="0"/>
    <x v="3"/>
    <n v="1"/>
    <n v="6"/>
    <x v="0"/>
  </r>
  <r>
    <s v="TX500826"/>
    <x v="8"/>
    <n v="4"/>
    <n v="28.9"/>
    <n v="115.6"/>
    <x v="34"/>
    <x v="39"/>
    <x v="0"/>
    <x v="2"/>
    <x v="0"/>
    <x v="0"/>
    <x v="3"/>
    <n v="4"/>
    <n v="6"/>
    <x v="0"/>
  </r>
  <r>
    <s v="TX500827"/>
    <x v="12"/>
    <n v="5"/>
    <n v="60.7"/>
    <n v="303.5"/>
    <x v="34"/>
    <x v="39"/>
    <x v="2"/>
    <x v="1"/>
    <x v="1"/>
    <x v="0"/>
    <x v="3"/>
    <n v="4"/>
    <n v="6"/>
    <x v="2"/>
  </r>
  <r>
    <s v="TX500828"/>
    <x v="6"/>
    <n v="5"/>
    <n v="60.8"/>
    <n v="304"/>
    <x v="34"/>
    <x v="39"/>
    <x v="0"/>
    <x v="0"/>
    <x v="1"/>
    <x v="0"/>
    <x v="3"/>
    <n v="4"/>
    <n v="6"/>
    <x v="0"/>
  </r>
  <r>
    <s v="TX500829"/>
    <x v="6"/>
    <n v="5"/>
    <n v="64.599999999999994"/>
    <n v="323"/>
    <x v="34"/>
    <x v="36"/>
    <x v="1"/>
    <x v="3"/>
    <x v="0"/>
    <x v="0"/>
    <x v="3"/>
    <n v="1"/>
    <n v="6"/>
    <x v="1"/>
  </r>
  <r>
    <s v="TX500830"/>
    <x v="8"/>
    <n v="1"/>
    <n v="21.9"/>
    <n v="21.9"/>
    <x v="34"/>
    <x v="31"/>
    <x v="0"/>
    <x v="1"/>
    <x v="2"/>
    <x v="0"/>
    <x v="4"/>
    <n v="3"/>
    <n v="6"/>
    <x v="0"/>
  </r>
  <r>
    <s v="TX500831"/>
    <x v="4"/>
    <n v="12"/>
    <n v="33.4"/>
    <n v="400.79999999999995"/>
    <x v="34"/>
    <x v="38"/>
    <x v="1"/>
    <x v="0"/>
    <x v="0"/>
    <x v="0"/>
    <x v="23"/>
    <n v="2"/>
    <n v="6"/>
    <x v="1"/>
  </r>
  <r>
    <s v="TX500832"/>
    <x v="2"/>
    <n v="1"/>
    <n v="51.7"/>
    <n v="51.7"/>
    <x v="34"/>
    <x v="36"/>
    <x v="2"/>
    <x v="0"/>
    <x v="0"/>
    <x v="0"/>
    <x v="6"/>
    <n v="1"/>
    <n v="6"/>
    <x v="2"/>
  </r>
  <r>
    <s v="TX500833"/>
    <x v="1"/>
    <n v="4"/>
    <n v="84.9"/>
    <n v="339.6"/>
    <x v="34"/>
    <x v="36"/>
    <x v="1"/>
    <x v="1"/>
    <x v="1"/>
    <x v="0"/>
    <x v="6"/>
    <n v="1"/>
    <n v="6"/>
    <x v="1"/>
  </r>
  <r>
    <s v="TX500834"/>
    <x v="1"/>
    <n v="11"/>
    <n v="62.3"/>
    <n v="685.3"/>
    <x v="34"/>
    <x v="36"/>
    <x v="1"/>
    <x v="2"/>
    <x v="2"/>
    <x v="0"/>
    <x v="7"/>
    <n v="1"/>
    <n v="6"/>
    <x v="1"/>
  </r>
  <r>
    <s v="TX500835"/>
    <x v="4"/>
    <n v="1"/>
    <n v="50.7"/>
    <n v="50.7"/>
    <x v="34"/>
    <x v="38"/>
    <x v="0"/>
    <x v="2"/>
    <x v="2"/>
    <x v="0"/>
    <x v="8"/>
    <n v="2"/>
    <n v="6"/>
    <x v="0"/>
  </r>
  <r>
    <s v="TX500836"/>
    <x v="18"/>
    <n v="1"/>
    <n v="39.5"/>
    <n v="39.5"/>
    <x v="34"/>
    <x v="36"/>
    <x v="0"/>
    <x v="4"/>
    <x v="1"/>
    <x v="0"/>
    <x v="8"/>
    <n v="1"/>
    <n v="6"/>
    <x v="0"/>
  </r>
  <r>
    <s v="TX500837"/>
    <x v="12"/>
    <n v="3"/>
    <n v="30.9"/>
    <n v="92.699999999999989"/>
    <x v="34"/>
    <x v="36"/>
    <x v="2"/>
    <x v="4"/>
    <x v="2"/>
    <x v="0"/>
    <x v="8"/>
    <n v="1"/>
    <n v="6"/>
    <x v="2"/>
  </r>
  <r>
    <s v="TX500838"/>
    <x v="1"/>
    <n v="7"/>
    <n v="36.4"/>
    <n v="254.79999999999998"/>
    <x v="34"/>
    <x v="31"/>
    <x v="1"/>
    <x v="0"/>
    <x v="2"/>
    <x v="0"/>
    <x v="8"/>
    <n v="3"/>
    <n v="6"/>
    <x v="1"/>
  </r>
  <r>
    <s v="TX500839"/>
    <x v="6"/>
    <n v="8"/>
    <n v="105.6"/>
    <n v="844.8"/>
    <x v="34"/>
    <x v="42"/>
    <x v="1"/>
    <x v="0"/>
    <x v="0"/>
    <x v="0"/>
    <x v="8"/>
    <n v="10"/>
    <n v="6"/>
    <x v="1"/>
  </r>
  <r>
    <s v="TX500840"/>
    <x v="8"/>
    <n v="2"/>
    <n v="22.1"/>
    <n v="44.2"/>
    <x v="34"/>
    <x v="36"/>
    <x v="1"/>
    <x v="0"/>
    <x v="2"/>
    <x v="0"/>
    <x v="17"/>
    <n v="1"/>
    <n v="6"/>
    <x v="1"/>
  </r>
  <r>
    <s v="TX500841"/>
    <x v="0"/>
    <n v="3"/>
    <n v="22.6"/>
    <n v="67.800000000000011"/>
    <x v="34"/>
    <x v="36"/>
    <x v="1"/>
    <x v="2"/>
    <x v="0"/>
    <x v="0"/>
    <x v="17"/>
    <n v="1"/>
    <n v="6"/>
    <x v="1"/>
  </r>
  <r>
    <s v="TX500842"/>
    <x v="10"/>
    <n v="6"/>
    <n v="26.3"/>
    <n v="157.80000000000001"/>
    <x v="34"/>
    <x v="32"/>
    <x v="1"/>
    <x v="2"/>
    <x v="0"/>
    <x v="0"/>
    <x v="9"/>
    <n v="0"/>
    <n v="6"/>
    <x v="1"/>
  </r>
  <r>
    <s v="TX500843"/>
    <x v="1"/>
    <n v="4"/>
    <n v="37.799999999999997"/>
    <n v="151.19999999999999"/>
    <x v="34"/>
    <x v="36"/>
    <x v="1"/>
    <x v="0"/>
    <x v="2"/>
    <x v="0"/>
    <x v="11"/>
    <n v="1"/>
    <n v="6"/>
    <x v="1"/>
  </r>
  <r>
    <s v="TX500844"/>
    <x v="6"/>
    <n v="17"/>
    <n v="96"/>
    <n v="1632"/>
    <x v="34"/>
    <x v="31"/>
    <x v="1"/>
    <x v="4"/>
    <x v="1"/>
    <x v="0"/>
    <x v="18"/>
    <n v="3"/>
    <n v="6"/>
    <x v="1"/>
  </r>
  <r>
    <s v="TX500845"/>
    <x v="1"/>
    <n v="1"/>
    <n v="83.6"/>
    <n v="83.6"/>
    <x v="34"/>
    <x v="31"/>
    <x v="1"/>
    <x v="2"/>
    <x v="1"/>
    <x v="0"/>
    <x v="19"/>
    <n v="3"/>
    <n v="6"/>
    <x v="1"/>
  </r>
  <r>
    <s v="TX500846"/>
    <x v="2"/>
    <n v="6"/>
    <n v="72.599999999999994"/>
    <n v="435.59999999999997"/>
    <x v="34"/>
    <x v="36"/>
    <x v="1"/>
    <x v="0"/>
    <x v="0"/>
    <x v="0"/>
    <x v="21"/>
    <n v="1"/>
    <n v="6"/>
    <x v="1"/>
  </r>
  <r>
    <s v="TX500847"/>
    <x v="5"/>
    <n v="20"/>
    <n v="69.099999999999994"/>
    <n v="1382"/>
    <x v="35"/>
    <x v="40"/>
    <x v="0"/>
    <x v="0"/>
    <x v="2"/>
    <x v="0"/>
    <x v="21"/>
    <n v="6"/>
    <n v="6"/>
    <x v="0"/>
  </r>
  <r>
    <s v="TX500848"/>
    <x v="4"/>
    <n v="2"/>
    <n v="22.6"/>
    <n v="45.2"/>
    <x v="35"/>
    <x v="31"/>
    <x v="1"/>
    <x v="1"/>
    <x v="2"/>
    <x v="0"/>
    <x v="21"/>
    <n v="2"/>
    <n v="6"/>
    <x v="1"/>
  </r>
  <r>
    <s v="TX500849"/>
    <x v="6"/>
    <n v="2"/>
    <n v="45.3"/>
    <n v="90.6"/>
    <x v="35"/>
    <x v="35"/>
    <x v="0"/>
    <x v="4"/>
    <x v="2"/>
    <x v="0"/>
    <x v="21"/>
    <n v="4"/>
    <n v="6"/>
    <x v="0"/>
  </r>
  <r>
    <s v="TX500850"/>
    <x v="2"/>
    <n v="2"/>
    <n v="115.1"/>
    <n v="230.2"/>
    <x v="35"/>
    <x v="38"/>
    <x v="1"/>
    <x v="1"/>
    <x v="0"/>
    <x v="0"/>
    <x v="1"/>
    <n v="1"/>
    <n v="6"/>
    <x v="1"/>
  </r>
  <r>
    <s v="TX500851"/>
    <x v="18"/>
    <n v="4"/>
    <n v="79"/>
    <n v="316"/>
    <x v="35"/>
    <x v="31"/>
    <x v="0"/>
    <x v="2"/>
    <x v="4"/>
    <x v="0"/>
    <x v="1"/>
    <n v="2"/>
    <n v="6"/>
    <x v="0"/>
  </r>
  <r>
    <s v="TX500852"/>
    <x v="6"/>
    <n v="5"/>
    <n v="52.8"/>
    <n v="264"/>
    <x v="35"/>
    <x v="38"/>
    <x v="1"/>
    <x v="0"/>
    <x v="0"/>
    <x v="0"/>
    <x v="42"/>
    <n v="1"/>
    <n v="6"/>
    <x v="1"/>
  </r>
  <r>
    <s v="TX500853"/>
    <x v="8"/>
    <n v="2"/>
    <n v="34.1"/>
    <n v="68.2"/>
    <x v="35"/>
    <x v="38"/>
    <x v="0"/>
    <x v="3"/>
    <x v="2"/>
    <x v="0"/>
    <x v="44"/>
    <n v="1"/>
    <n v="6"/>
    <x v="0"/>
  </r>
  <r>
    <s v="TX500854"/>
    <x v="6"/>
    <n v="5"/>
    <n v="107.9"/>
    <n v="539.5"/>
    <x v="35"/>
    <x v="36"/>
    <x v="1"/>
    <x v="0"/>
    <x v="2"/>
    <x v="0"/>
    <x v="50"/>
    <n v="0"/>
    <n v="6"/>
    <x v="1"/>
  </r>
  <r>
    <s v="TX500855"/>
    <x v="8"/>
    <n v="13"/>
    <n v="48.5"/>
    <n v="630.5"/>
    <x v="35"/>
    <x v="36"/>
    <x v="0"/>
    <x v="2"/>
    <x v="2"/>
    <x v="0"/>
    <x v="3"/>
    <n v="0"/>
    <n v="6"/>
    <x v="0"/>
  </r>
  <r>
    <s v="TX500856"/>
    <x v="5"/>
    <n v="3"/>
    <n v="34.700000000000003"/>
    <n v="104.10000000000001"/>
    <x v="35"/>
    <x v="38"/>
    <x v="2"/>
    <x v="4"/>
    <x v="1"/>
    <x v="0"/>
    <x v="3"/>
    <n v="1"/>
    <n v="6"/>
    <x v="2"/>
  </r>
  <r>
    <s v="TX500857"/>
    <x v="8"/>
    <n v="1"/>
    <n v="16.8"/>
    <n v="16.8"/>
    <x v="35"/>
    <x v="31"/>
    <x v="1"/>
    <x v="3"/>
    <x v="0"/>
    <x v="0"/>
    <x v="3"/>
    <n v="2"/>
    <n v="6"/>
    <x v="1"/>
  </r>
  <r>
    <s v="TX500858"/>
    <x v="8"/>
    <n v="6"/>
    <n v="18.3"/>
    <n v="109.80000000000001"/>
    <x v="35"/>
    <x v="39"/>
    <x v="1"/>
    <x v="0"/>
    <x v="0"/>
    <x v="0"/>
    <x v="3"/>
    <n v="3"/>
    <n v="6"/>
    <x v="1"/>
  </r>
  <r>
    <s v="TX500859"/>
    <x v="18"/>
    <n v="3"/>
    <n v="55.9"/>
    <n v="167.7"/>
    <x v="35"/>
    <x v="40"/>
    <x v="0"/>
    <x v="3"/>
    <x v="1"/>
    <x v="0"/>
    <x v="3"/>
    <n v="6"/>
    <n v="6"/>
    <x v="0"/>
  </r>
  <r>
    <s v="TX500860"/>
    <x v="8"/>
    <n v="3"/>
    <n v="39.200000000000003"/>
    <n v="117.60000000000001"/>
    <x v="35"/>
    <x v="31"/>
    <x v="1"/>
    <x v="0"/>
    <x v="1"/>
    <x v="0"/>
    <x v="3"/>
    <n v="2"/>
    <n v="6"/>
    <x v="1"/>
  </r>
  <r>
    <s v="TX500861"/>
    <x v="15"/>
    <n v="4"/>
    <n v="66.5"/>
    <n v="266"/>
    <x v="35"/>
    <x v="31"/>
    <x v="2"/>
    <x v="3"/>
    <x v="1"/>
    <x v="0"/>
    <x v="3"/>
    <n v="2"/>
    <n v="6"/>
    <x v="2"/>
  </r>
  <r>
    <s v="TX500862"/>
    <x v="6"/>
    <n v="6"/>
    <n v="52.1"/>
    <n v="312.60000000000002"/>
    <x v="35"/>
    <x v="31"/>
    <x v="0"/>
    <x v="1"/>
    <x v="1"/>
    <x v="0"/>
    <x v="16"/>
    <n v="2"/>
    <n v="6"/>
    <x v="0"/>
  </r>
  <r>
    <s v="TX500863"/>
    <x v="8"/>
    <n v="2"/>
    <n v="19"/>
    <n v="38"/>
    <x v="35"/>
    <x v="38"/>
    <x v="0"/>
    <x v="4"/>
    <x v="2"/>
    <x v="0"/>
    <x v="6"/>
    <n v="1"/>
    <n v="6"/>
    <x v="0"/>
  </r>
  <r>
    <s v="TX500864"/>
    <x v="7"/>
    <n v="3"/>
    <n v="84.8"/>
    <n v="254.39999999999998"/>
    <x v="35"/>
    <x v="31"/>
    <x v="1"/>
    <x v="2"/>
    <x v="0"/>
    <x v="0"/>
    <x v="8"/>
    <n v="2"/>
    <n v="6"/>
    <x v="1"/>
  </r>
  <r>
    <s v="TX500865"/>
    <x v="2"/>
    <n v="4"/>
    <n v="63.9"/>
    <n v="255.6"/>
    <x v="35"/>
    <x v="39"/>
    <x v="1"/>
    <x v="0"/>
    <x v="0"/>
    <x v="0"/>
    <x v="8"/>
    <n v="3"/>
    <n v="6"/>
    <x v="1"/>
  </r>
  <r>
    <s v="TX500866"/>
    <x v="2"/>
    <n v="3"/>
    <n v="65.5"/>
    <n v="196.5"/>
    <x v="35"/>
    <x v="36"/>
    <x v="1"/>
    <x v="1"/>
    <x v="1"/>
    <x v="0"/>
    <x v="8"/>
    <n v="0"/>
    <n v="6"/>
    <x v="1"/>
  </r>
  <r>
    <s v="TX500867"/>
    <x v="12"/>
    <n v="2"/>
    <n v="116.2"/>
    <n v="232.4"/>
    <x v="35"/>
    <x v="40"/>
    <x v="0"/>
    <x v="3"/>
    <x v="0"/>
    <x v="0"/>
    <x v="17"/>
    <n v="6"/>
    <n v="6"/>
    <x v="0"/>
  </r>
  <r>
    <s v="TX500868"/>
    <x v="10"/>
    <n v="4"/>
    <n v="22.9"/>
    <n v="91.6"/>
    <x v="35"/>
    <x v="31"/>
    <x v="1"/>
    <x v="2"/>
    <x v="1"/>
    <x v="0"/>
    <x v="38"/>
    <n v="2"/>
    <n v="6"/>
    <x v="1"/>
  </r>
  <r>
    <s v="TX500869"/>
    <x v="10"/>
    <n v="3"/>
    <n v="53.7"/>
    <n v="161.10000000000002"/>
    <x v="35"/>
    <x v="38"/>
    <x v="0"/>
    <x v="0"/>
    <x v="4"/>
    <x v="0"/>
    <x v="18"/>
    <n v="1"/>
    <n v="6"/>
    <x v="0"/>
  </r>
  <r>
    <s v="TX500870"/>
    <x v="6"/>
    <n v="5"/>
    <n v="43.2"/>
    <n v="216"/>
    <x v="35"/>
    <x v="31"/>
    <x v="1"/>
    <x v="0"/>
    <x v="0"/>
    <x v="0"/>
    <x v="19"/>
    <n v="2"/>
    <n v="6"/>
    <x v="1"/>
  </r>
  <r>
    <s v="TX500871"/>
    <x v="1"/>
    <n v="3"/>
    <n v="84.5"/>
    <n v="253.5"/>
    <x v="35"/>
    <x v="31"/>
    <x v="0"/>
    <x v="2"/>
    <x v="2"/>
    <x v="0"/>
    <x v="51"/>
    <n v="2"/>
    <n v="6"/>
    <x v="0"/>
  </r>
  <r>
    <s v="TX500872"/>
    <x v="3"/>
    <n v="2"/>
    <n v="42.2"/>
    <n v="84.4"/>
    <x v="35"/>
    <x v="38"/>
    <x v="1"/>
    <x v="1"/>
    <x v="2"/>
    <x v="0"/>
    <x v="1"/>
    <n v="1"/>
    <n v="6"/>
    <x v="1"/>
  </r>
  <r>
    <s v="TX500873"/>
    <x v="2"/>
    <n v="6"/>
    <n v="94.7"/>
    <n v="568.20000000000005"/>
    <x v="35"/>
    <x v="39"/>
    <x v="1"/>
    <x v="1"/>
    <x v="2"/>
    <x v="0"/>
    <x v="2"/>
    <n v="3"/>
    <n v="6"/>
    <x v="1"/>
  </r>
  <r>
    <s v="TX500874"/>
    <x v="8"/>
    <n v="18"/>
    <n v="16.7"/>
    <n v="300.59999999999997"/>
    <x v="35"/>
    <x v="43"/>
    <x v="1"/>
    <x v="0"/>
    <x v="2"/>
    <x v="0"/>
    <x v="2"/>
    <n v="12"/>
    <n v="6"/>
    <x v="1"/>
  </r>
  <r>
    <s v="TX500875"/>
    <x v="2"/>
    <n v="2"/>
    <n v="83.6"/>
    <n v="167.2"/>
    <x v="35"/>
    <x v="40"/>
    <x v="1"/>
    <x v="1"/>
    <x v="0"/>
    <x v="0"/>
    <x v="3"/>
    <n v="6"/>
    <n v="6"/>
    <x v="1"/>
  </r>
  <r>
    <s v="TX500876"/>
    <x v="7"/>
    <n v="6"/>
    <n v="33.6"/>
    <n v="201.60000000000002"/>
    <x v="36"/>
    <x v="31"/>
    <x v="1"/>
    <x v="3"/>
    <x v="0"/>
    <x v="0"/>
    <x v="3"/>
    <n v="1"/>
    <n v="6"/>
    <x v="1"/>
  </r>
  <r>
    <s v="TX500877"/>
    <x v="7"/>
    <n v="2"/>
    <n v="64.7"/>
    <n v="129.4"/>
    <x v="36"/>
    <x v="39"/>
    <x v="0"/>
    <x v="1"/>
    <x v="2"/>
    <x v="0"/>
    <x v="3"/>
    <n v="2"/>
    <n v="6"/>
    <x v="0"/>
  </r>
  <r>
    <s v="TX500878"/>
    <x v="0"/>
    <n v="3"/>
    <n v="15.7"/>
    <n v="47.099999999999994"/>
    <x v="36"/>
    <x v="44"/>
    <x v="1"/>
    <x v="0"/>
    <x v="0"/>
    <x v="0"/>
    <x v="3"/>
    <n v="6"/>
    <n v="6"/>
    <x v="1"/>
  </r>
  <r>
    <s v="TX500879"/>
    <x v="15"/>
    <n v="6"/>
    <n v="49.4"/>
    <n v="296.39999999999998"/>
    <x v="36"/>
    <x v="38"/>
    <x v="0"/>
    <x v="1"/>
    <x v="0"/>
    <x v="0"/>
    <x v="3"/>
    <n v="0"/>
    <n v="6"/>
    <x v="0"/>
  </r>
  <r>
    <s v="TX500880"/>
    <x v="10"/>
    <n v="6"/>
    <n v="37"/>
    <n v="222"/>
    <x v="36"/>
    <x v="35"/>
    <x v="1"/>
    <x v="1"/>
    <x v="2"/>
    <x v="0"/>
    <x v="3"/>
    <n v="3"/>
    <n v="6"/>
    <x v="1"/>
  </r>
  <r>
    <s v="TX500881"/>
    <x v="2"/>
    <n v="2"/>
    <n v="83.7"/>
    <n v="167.4"/>
    <x v="36"/>
    <x v="39"/>
    <x v="1"/>
    <x v="3"/>
    <x v="2"/>
    <x v="0"/>
    <x v="3"/>
    <n v="2"/>
    <n v="6"/>
    <x v="1"/>
  </r>
  <r>
    <s v="TX500882"/>
    <x v="1"/>
    <n v="5"/>
    <n v="35.1"/>
    <n v="175.5"/>
    <x v="36"/>
    <x v="31"/>
    <x v="1"/>
    <x v="0"/>
    <x v="0"/>
    <x v="0"/>
    <x v="3"/>
    <n v="1"/>
    <n v="6"/>
    <x v="1"/>
  </r>
  <r>
    <s v="TX500883"/>
    <x v="16"/>
    <n v="8"/>
    <n v="74"/>
    <n v="592"/>
    <x v="36"/>
    <x v="31"/>
    <x v="1"/>
    <x v="4"/>
    <x v="0"/>
    <x v="0"/>
    <x v="37"/>
    <n v="1"/>
    <n v="6"/>
    <x v="1"/>
  </r>
  <r>
    <s v="TX500884"/>
    <x v="6"/>
    <n v="24"/>
    <n v="55.5"/>
    <n v="1332"/>
    <x v="36"/>
    <x v="35"/>
    <x v="0"/>
    <x v="3"/>
    <x v="0"/>
    <x v="0"/>
    <x v="49"/>
    <n v="3"/>
    <n v="6"/>
    <x v="0"/>
  </r>
  <r>
    <s v="TX500885"/>
    <x v="11"/>
    <n v="2"/>
    <n v="38.9"/>
    <n v="77.8"/>
    <x v="36"/>
    <x v="39"/>
    <x v="1"/>
    <x v="1"/>
    <x v="2"/>
    <x v="0"/>
    <x v="25"/>
    <n v="2"/>
    <n v="6"/>
    <x v="1"/>
  </r>
  <r>
    <s v="TX500886"/>
    <x v="16"/>
    <n v="2"/>
    <n v="64.599999999999994"/>
    <n v="129.19999999999999"/>
    <x v="36"/>
    <x v="45"/>
    <x v="0"/>
    <x v="2"/>
    <x v="1"/>
    <x v="0"/>
    <x v="25"/>
    <n v="7"/>
    <n v="6"/>
    <x v="0"/>
  </r>
  <r>
    <s v="TX500887"/>
    <x v="2"/>
    <n v="3"/>
    <n v="95.3"/>
    <n v="285.89999999999998"/>
    <x v="36"/>
    <x v="31"/>
    <x v="0"/>
    <x v="0"/>
    <x v="0"/>
    <x v="0"/>
    <x v="5"/>
    <n v="1"/>
    <n v="6"/>
    <x v="0"/>
  </r>
  <r>
    <s v="TX500888"/>
    <x v="13"/>
    <n v="3"/>
    <n v="25.8"/>
    <n v="77.400000000000006"/>
    <x v="36"/>
    <x v="31"/>
    <x v="1"/>
    <x v="1"/>
    <x v="1"/>
    <x v="0"/>
    <x v="6"/>
    <n v="1"/>
    <n v="6"/>
    <x v="1"/>
  </r>
  <r>
    <s v="TX500889"/>
    <x v="0"/>
    <n v="2"/>
    <n v="11.6"/>
    <n v="23.2"/>
    <x v="36"/>
    <x v="37"/>
    <x v="1"/>
    <x v="1"/>
    <x v="1"/>
    <x v="0"/>
    <x v="6"/>
    <n v="4"/>
    <n v="6"/>
    <x v="1"/>
  </r>
  <r>
    <s v="TX500890"/>
    <x v="7"/>
    <n v="1"/>
    <n v="52.3"/>
    <n v="52.3"/>
    <x v="36"/>
    <x v="31"/>
    <x v="1"/>
    <x v="1"/>
    <x v="0"/>
    <x v="0"/>
    <x v="8"/>
    <n v="1"/>
    <n v="6"/>
    <x v="1"/>
  </r>
  <r>
    <s v="TX500891"/>
    <x v="2"/>
    <n v="10"/>
    <n v="112.2"/>
    <n v="1122"/>
    <x v="36"/>
    <x v="31"/>
    <x v="1"/>
    <x v="1"/>
    <x v="1"/>
    <x v="0"/>
    <x v="8"/>
    <n v="1"/>
    <n v="6"/>
    <x v="1"/>
  </r>
  <r>
    <s v="TX500892"/>
    <x v="4"/>
    <n v="5"/>
    <n v="34.6"/>
    <n v="173"/>
    <x v="36"/>
    <x v="39"/>
    <x v="0"/>
    <x v="2"/>
    <x v="0"/>
    <x v="0"/>
    <x v="8"/>
    <n v="2"/>
    <n v="6"/>
    <x v="0"/>
  </r>
  <r>
    <s v="TX500893"/>
    <x v="14"/>
    <n v="4"/>
    <n v="20.100000000000001"/>
    <n v="80.400000000000006"/>
    <x v="36"/>
    <x v="44"/>
    <x v="0"/>
    <x v="1"/>
    <x v="2"/>
    <x v="0"/>
    <x v="8"/>
    <n v="6"/>
    <n v="6"/>
    <x v="0"/>
  </r>
  <r>
    <s v="TX500894"/>
    <x v="2"/>
    <n v="4"/>
    <n v="56.4"/>
    <n v="225.6"/>
    <x v="36"/>
    <x v="39"/>
    <x v="1"/>
    <x v="2"/>
    <x v="0"/>
    <x v="0"/>
    <x v="10"/>
    <n v="2"/>
    <n v="6"/>
    <x v="1"/>
  </r>
  <r>
    <s v="TX500895"/>
    <x v="13"/>
    <n v="9"/>
    <n v="55.3"/>
    <n v="497.7"/>
    <x v="36"/>
    <x v="39"/>
    <x v="1"/>
    <x v="1"/>
    <x v="4"/>
    <x v="0"/>
    <x v="11"/>
    <n v="2"/>
    <n v="6"/>
    <x v="1"/>
  </r>
  <r>
    <s v="TX500896"/>
    <x v="2"/>
    <n v="28"/>
    <n v="75.5"/>
    <n v="2114"/>
    <x v="36"/>
    <x v="31"/>
    <x v="1"/>
    <x v="0"/>
    <x v="0"/>
    <x v="0"/>
    <x v="11"/>
    <n v="1"/>
    <n v="6"/>
    <x v="1"/>
  </r>
  <r>
    <s v="TX500897"/>
    <x v="8"/>
    <n v="1"/>
    <n v="23.6"/>
    <n v="23.6"/>
    <x v="36"/>
    <x v="40"/>
    <x v="1"/>
    <x v="0"/>
    <x v="0"/>
    <x v="0"/>
    <x v="19"/>
    <n v="5"/>
    <n v="6"/>
    <x v="1"/>
  </r>
  <r>
    <s v="TX500898"/>
    <x v="9"/>
    <n v="2"/>
    <n v="70.7"/>
    <n v="141.4"/>
    <x v="36"/>
    <x v="39"/>
    <x v="1"/>
    <x v="2"/>
    <x v="0"/>
    <x v="0"/>
    <x v="19"/>
    <n v="2"/>
    <n v="6"/>
    <x v="1"/>
  </r>
  <r>
    <s v="TX500899"/>
    <x v="12"/>
    <n v="2"/>
    <n v="43.2"/>
    <n v="86.4"/>
    <x v="36"/>
    <x v="31"/>
    <x v="1"/>
    <x v="2"/>
    <x v="0"/>
    <x v="0"/>
    <x v="31"/>
    <n v="1"/>
    <n v="6"/>
    <x v="1"/>
  </r>
  <r>
    <s v="TX500900"/>
    <x v="9"/>
    <n v="9"/>
    <n v="70"/>
    <n v="630"/>
    <x v="36"/>
    <x v="31"/>
    <x v="2"/>
    <x v="1"/>
    <x v="0"/>
    <x v="0"/>
    <x v="52"/>
    <n v="1"/>
    <n v="6"/>
    <x v="2"/>
  </r>
  <r>
    <s v="TX500901"/>
    <x v="0"/>
    <n v="2"/>
    <n v="20.5"/>
    <n v="41"/>
    <x v="36"/>
    <x v="39"/>
    <x v="1"/>
    <x v="2"/>
    <x v="4"/>
    <x v="0"/>
    <x v="13"/>
    <n v="2"/>
    <n v="6"/>
    <x v="1"/>
  </r>
  <r>
    <s v="TX500902"/>
    <x v="0"/>
    <n v="4"/>
    <n v="29.1"/>
    <n v="116.4"/>
    <x v="36"/>
    <x v="31"/>
    <x v="1"/>
    <x v="3"/>
    <x v="0"/>
    <x v="0"/>
    <x v="28"/>
    <n v="1"/>
    <n v="6"/>
    <x v="1"/>
  </r>
  <r>
    <s v="TX500903"/>
    <x v="6"/>
    <n v="9"/>
    <n v="53.6"/>
    <n v="482.40000000000003"/>
    <x v="36"/>
    <x v="31"/>
    <x v="0"/>
    <x v="2"/>
    <x v="1"/>
    <x v="0"/>
    <x v="3"/>
    <n v="1"/>
    <n v="6"/>
    <x v="0"/>
  </r>
  <r>
    <s v="TX500904"/>
    <x v="6"/>
    <n v="5"/>
    <n v="72.3"/>
    <n v="361.5"/>
    <x v="36"/>
    <x v="39"/>
    <x v="1"/>
    <x v="1"/>
    <x v="0"/>
    <x v="0"/>
    <x v="3"/>
    <n v="2"/>
    <n v="6"/>
    <x v="1"/>
  </r>
  <r>
    <s v="TX500905"/>
    <x v="13"/>
    <n v="4"/>
    <n v="22.6"/>
    <n v="90.4"/>
    <x v="36"/>
    <x v="35"/>
    <x v="3"/>
    <x v="0"/>
    <x v="1"/>
    <x v="0"/>
    <x v="3"/>
    <n v="3"/>
    <n v="6"/>
    <x v="3"/>
  </r>
  <r>
    <s v="TX500906"/>
    <x v="9"/>
    <n v="2"/>
    <n v="44.2"/>
    <n v="88.4"/>
    <x v="36"/>
    <x v="37"/>
    <x v="2"/>
    <x v="2"/>
    <x v="4"/>
    <x v="0"/>
    <x v="3"/>
    <n v="4"/>
    <n v="6"/>
    <x v="2"/>
  </r>
  <r>
    <s v="TX500907"/>
    <x v="9"/>
    <n v="3"/>
    <n v="94.1"/>
    <n v="282.29999999999995"/>
    <x v="36"/>
    <x v="46"/>
    <x v="1"/>
    <x v="2"/>
    <x v="2"/>
    <x v="0"/>
    <x v="3"/>
    <n v="13"/>
    <n v="6"/>
    <x v="1"/>
  </r>
  <r>
    <s v="TX500908"/>
    <x v="8"/>
    <n v="3"/>
    <n v="17.899999999999999"/>
    <n v="53.699999999999996"/>
    <x v="36"/>
    <x v="39"/>
    <x v="0"/>
    <x v="1"/>
    <x v="1"/>
    <x v="0"/>
    <x v="3"/>
    <n v="2"/>
    <n v="6"/>
    <x v="0"/>
  </r>
  <r>
    <s v="TX500909"/>
    <x v="12"/>
    <n v="7"/>
    <n v="52.7"/>
    <n v="368.90000000000003"/>
    <x v="36"/>
    <x v="31"/>
    <x v="0"/>
    <x v="1"/>
    <x v="1"/>
    <x v="0"/>
    <x v="3"/>
    <n v="1"/>
    <n v="6"/>
    <x v="0"/>
  </r>
  <r>
    <s v="TX500910"/>
    <x v="8"/>
    <n v="1"/>
    <n v="36.799999999999997"/>
    <n v="36.799999999999997"/>
    <x v="36"/>
    <x v="38"/>
    <x v="2"/>
    <x v="0"/>
    <x v="2"/>
    <x v="0"/>
    <x v="3"/>
    <n v="0"/>
    <n v="6"/>
    <x v="2"/>
  </r>
  <r>
    <s v="TX500911"/>
    <x v="4"/>
    <n v="1"/>
    <n v="52.5"/>
    <n v="52.5"/>
    <x v="36"/>
    <x v="31"/>
    <x v="0"/>
    <x v="0"/>
    <x v="1"/>
    <x v="0"/>
    <x v="6"/>
    <n v="1"/>
    <n v="6"/>
    <x v="0"/>
  </r>
  <r>
    <s v="TX500912"/>
    <x v="2"/>
    <n v="2"/>
    <n v="133.80000000000001"/>
    <n v="267.60000000000002"/>
    <x v="36"/>
    <x v="39"/>
    <x v="0"/>
    <x v="0"/>
    <x v="1"/>
    <x v="0"/>
    <x v="7"/>
    <n v="2"/>
    <n v="6"/>
    <x v="0"/>
  </r>
  <r>
    <s v="TX500913"/>
    <x v="6"/>
    <n v="2"/>
    <n v="53.2"/>
    <n v="106.4"/>
    <x v="36"/>
    <x v="39"/>
    <x v="0"/>
    <x v="0"/>
    <x v="0"/>
    <x v="0"/>
    <x v="17"/>
    <n v="2"/>
    <n v="6"/>
    <x v="0"/>
  </r>
  <r>
    <s v="TX500914"/>
    <x v="14"/>
    <n v="6"/>
    <n v="18.7"/>
    <n v="112.19999999999999"/>
    <x v="36"/>
    <x v="39"/>
    <x v="2"/>
    <x v="0"/>
    <x v="1"/>
    <x v="0"/>
    <x v="10"/>
    <n v="2"/>
    <n v="6"/>
    <x v="2"/>
  </r>
  <r>
    <s v="TX500915"/>
    <x v="6"/>
    <n v="4"/>
    <n v="108.8"/>
    <n v="435.2"/>
    <x v="36"/>
    <x v="31"/>
    <x v="1"/>
    <x v="3"/>
    <x v="2"/>
    <x v="0"/>
    <x v="11"/>
    <n v="1"/>
    <n v="6"/>
    <x v="1"/>
  </r>
  <r>
    <s v="TX500916"/>
    <x v="15"/>
    <n v="5"/>
    <n v="38.5"/>
    <n v="192.5"/>
    <x v="36"/>
    <x v="37"/>
    <x v="1"/>
    <x v="0"/>
    <x v="1"/>
    <x v="0"/>
    <x v="14"/>
    <n v="4"/>
    <n v="6"/>
    <x v="1"/>
  </r>
  <r>
    <s v="TX500917"/>
    <x v="10"/>
    <n v="10"/>
    <n v="46.5"/>
    <n v="465"/>
    <x v="36"/>
    <x v="39"/>
    <x v="0"/>
    <x v="2"/>
    <x v="1"/>
    <x v="0"/>
    <x v="2"/>
    <n v="2"/>
    <n v="6"/>
    <x v="0"/>
  </r>
  <r>
    <s v="TX500918"/>
    <x v="2"/>
    <n v="3"/>
    <n v="75.8"/>
    <n v="227.39999999999998"/>
    <x v="36"/>
    <x v="37"/>
    <x v="1"/>
    <x v="1"/>
    <x v="4"/>
    <x v="0"/>
    <x v="44"/>
    <n v="4"/>
    <n v="6"/>
    <x v="1"/>
  </r>
  <r>
    <s v="TX500919"/>
    <x v="8"/>
    <n v="1"/>
    <n v="20.9"/>
    <n v="20.9"/>
    <x v="36"/>
    <x v="37"/>
    <x v="0"/>
    <x v="0"/>
    <x v="0"/>
    <x v="0"/>
    <x v="22"/>
    <n v="4"/>
    <n v="6"/>
    <x v="0"/>
  </r>
  <r>
    <s v="TX500920"/>
    <x v="18"/>
    <n v="3"/>
    <n v="47.4"/>
    <n v="142.19999999999999"/>
    <x v="36"/>
    <x v="35"/>
    <x v="1"/>
    <x v="0"/>
    <x v="0"/>
    <x v="0"/>
    <x v="3"/>
    <n v="3"/>
    <n v="6"/>
    <x v="1"/>
  </r>
  <r>
    <s v="TX500921"/>
    <x v="9"/>
    <n v="2"/>
    <n v="53.8"/>
    <n v="107.6"/>
    <x v="36"/>
    <x v="31"/>
    <x v="2"/>
    <x v="0"/>
    <x v="1"/>
    <x v="0"/>
    <x v="3"/>
    <n v="1"/>
    <n v="6"/>
    <x v="2"/>
  </r>
  <r>
    <s v="TX500922"/>
    <x v="8"/>
    <n v="3"/>
    <n v="24.6"/>
    <n v="73.800000000000011"/>
    <x v="36"/>
    <x v="39"/>
    <x v="3"/>
    <x v="1"/>
    <x v="2"/>
    <x v="0"/>
    <x v="3"/>
    <n v="2"/>
    <n v="6"/>
    <x v="3"/>
  </r>
  <r>
    <s v="TX500923"/>
    <x v="9"/>
    <n v="3"/>
    <n v="70.900000000000006"/>
    <n v="212.70000000000002"/>
    <x v="36"/>
    <x v="40"/>
    <x v="1"/>
    <x v="2"/>
    <x v="2"/>
    <x v="0"/>
    <x v="3"/>
    <n v="5"/>
    <n v="6"/>
    <x v="1"/>
  </r>
  <r>
    <s v="TX500924"/>
    <x v="17"/>
    <n v="3"/>
    <n v="31.9"/>
    <n v="95.699999999999989"/>
    <x v="36"/>
    <x v="39"/>
    <x v="1"/>
    <x v="2"/>
    <x v="2"/>
    <x v="0"/>
    <x v="3"/>
    <n v="2"/>
    <n v="6"/>
    <x v="1"/>
  </r>
  <r>
    <s v="TX500925"/>
    <x v="0"/>
    <n v="2"/>
    <n v="20.399999999999999"/>
    <n v="40.799999999999997"/>
    <x v="36"/>
    <x v="37"/>
    <x v="0"/>
    <x v="3"/>
    <x v="2"/>
    <x v="0"/>
    <x v="3"/>
    <n v="4"/>
    <n v="6"/>
    <x v="0"/>
  </r>
  <r>
    <s v="TX500926"/>
    <x v="8"/>
    <n v="2"/>
    <n v="18.600000000000001"/>
    <n v="37.200000000000003"/>
    <x v="36"/>
    <x v="39"/>
    <x v="2"/>
    <x v="0"/>
    <x v="1"/>
    <x v="0"/>
    <x v="3"/>
    <n v="2"/>
    <n v="6"/>
    <x v="2"/>
  </r>
  <r>
    <s v="TX500927"/>
    <x v="4"/>
    <n v="5"/>
    <n v="48.3"/>
    <n v="241.5"/>
    <x v="36"/>
    <x v="39"/>
    <x v="1"/>
    <x v="1"/>
    <x v="0"/>
    <x v="0"/>
    <x v="3"/>
    <n v="2"/>
    <n v="6"/>
    <x v="1"/>
  </r>
  <r>
    <s v="TX500928"/>
    <x v="0"/>
    <n v="4"/>
    <n v="27.7"/>
    <n v="110.8"/>
    <x v="36"/>
    <x v="39"/>
    <x v="1"/>
    <x v="0"/>
    <x v="0"/>
    <x v="0"/>
    <x v="3"/>
    <n v="2"/>
    <n v="6"/>
    <x v="1"/>
  </r>
  <r>
    <s v="TX500929"/>
    <x v="4"/>
    <n v="5"/>
    <n v="22.5"/>
    <n v="112.5"/>
    <x v="36"/>
    <x v="39"/>
    <x v="1"/>
    <x v="4"/>
    <x v="2"/>
    <x v="0"/>
    <x v="3"/>
    <n v="2"/>
    <n v="6"/>
    <x v="1"/>
  </r>
  <r>
    <s v="TX500930"/>
    <x v="17"/>
    <n v="5"/>
    <n v="21.6"/>
    <n v="108"/>
    <x v="36"/>
    <x v="42"/>
    <x v="1"/>
    <x v="0"/>
    <x v="1"/>
    <x v="0"/>
    <x v="3"/>
    <n v="8"/>
    <n v="6"/>
    <x v="1"/>
  </r>
  <r>
    <s v="TX500931"/>
    <x v="10"/>
    <n v="7"/>
    <n v="26.3"/>
    <n v="184.1"/>
    <x v="36"/>
    <x v="38"/>
    <x v="1"/>
    <x v="2"/>
    <x v="1"/>
    <x v="0"/>
    <x v="3"/>
    <n v="0"/>
    <n v="6"/>
    <x v="1"/>
  </r>
  <r>
    <s v="TX500932"/>
    <x v="6"/>
    <n v="7"/>
    <n v="103"/>
    <n v="721"/>
    <x v="37"/>
    <x v="39"/>
    <x v="0"/>
    <x v="0"/>
    <x v="2"/>
    <x v="0"/>
    <x v="6"/>
    <n v="1"/>
    <n v="6"/>
    <x v="0"/>
  </r>
  <r>
    <s v="TX500933"/>
    <x v="5"/>
    <n v="15"/>
    <n v="46.6"/>
    <n v="699"/>
    <x v="37"/>
    <x v="39"/>
    <x v="1"/>
    <x v="0"/>
    <x v="1"/>
    <x v="0"/>
    <x v="6"/>
    <n v="1"/>
    <n v="6"/>
    <x v="1"/>
  </r>
  <r>
    <s v="TX500934"/>
    <x v="0"/>
    <n v="5"/>
    <n v="32.200000000000003"/>
    <n v="161"/>
    <x v="37"/>
    <x v="37"/>
    <x v="1"/>
    <x v="0"/>
    <x v="2"/>
    <x v="0"/>
    <x v="36"/>
    <n v="3"/>
    <n v="6"/>
    <x v="1"/>
  </r>
  <r>
    <s v="TX500935"/>
    <x v="8"/>
    <n v="3"/>
    <n v="22"/>
    <n v="66"/>
    <x v="37"/>
    <x v="42"/>
    <x v="0"/>
    <x v="1"/>
    <x v="0"/>
    <x v="0"/>
    <x v="7"/>
    <n v="7"/>
    <n v="6"/>
    <x v="0"/>
  </r>
  <r>
    <s v="TX500936"/>
    <x v="0"/>
    <n v="2"/>
    <n v="25.2"/>
    <n v="50.4"/>
    <x v="37"/>
    <x v="40"/>
    <x v="1"/>
    <x v="0"/>
    <x v="0"/>
    <x v="0"/>
    <x v="7"/>
    <n v="4"/>
    <n v="6"/>
    <x v="1"/>
  </r>
  <r>
    <s v="TX500937"/>
    <x v="1"/>
    <n v="6"/>
    <n v="68.7"/>
    <n v="412.20000000000005"/>
    <x v="37"/>
    <x v="35"/>
    <x v="0"/>
    <x v="4"/>
    <x v="0"/>
    <x v="0"/>
    <x v="8"/>
    <n v="2"/>
    <n v="6"/>
    <x v="0"/>
  </r>
  <r>
    <s v="TX500938"/>
    <x v="0"/>
    <n v="3"/>
    <n v="22.2"/>
    <n v="66.599999999999994"/>
    <x v="37"/>
    <x v="37"/>
    <x v="0"/>
    <x v="2"/>
    <x v="2"/>
    <x v="0"/>
    <x v="8"/>
    <n v="3"/>
    <n v="6"/>
    <x v="0"/>
  </r>
  <r>
    <s v="TX500939"/>
    <x v="1"/>
    <n v="7"/>
    <n v="36"/>
    <n v="252"/>
    <x v="37"/>
    <x v="39"/>
    <x v="1"/>
    <x v="1"/>
    <x v="0"/>
    <x v="0"/>
    <x v="8"/>
    <n v="1"/>
    <n v="6"/>
    <x v="1"/>
  </r>
  <r>
    <s v="TX500940"/>
    <x v="18"/>
    <n v="1"/>
    <n v="50.6"/>
    <n v="50.6"/>
    <x v="37"/>
    <x v="35"/>
    <x v="1"/>
    <x v="0"/>
    <x v="1"/>
    <x v="0"/>
    <x v="8"/>
    <n v="2"/>
    <n v="6"/>
    <x v="1"/>
  </r>
  <r>
    <s v="TX500941"/>
    <x v="15"/>
    <n v="2"/>
    <n v="44.9"/>
    <n v="89.8"/>
    <x v="37"/>
    <x v="35"/>
    <x v="0"/>
    <x v="0"/>
    <x v="1"/>
    <x v="0"/>
    <x v="8"/>
    <n v="2"/>
    <n v="6"/>
    <x v="0"/>
  </r>
  <r>
    <s v="TX500942"/>
    <x v="6"/>
    <n v="3"/>
    <n v="71.599999999999994"/>
    <n v="214.79999999999998"/>
    <x v="37"/>
    <x v="40"/>
    <x v="0"/>
    <x v="1"/>
    <x v="2"/>
    <x v="0"/>
    <x v="10"/>
    <n v="4"/>
    <n v="6"/>
    <x v="0"/>
  </r>
  <r>
    <s v="TX500943"/>
    <x v="6"/>
    <n v="6"/>
    <n v="51.5"/>
    <n v="309"/>
    <x v="37"/>
    <x v="35"/>
    <x v="2"/>
    <x v="4"/>
    <x v="0"/>
    <x v="0"/>
    <x v="11"/>
    <n v="2"/>
    <n v="6"/>
    <x v="2"/>
  </r>
  <r>
    <s v="TX500944"/>
    <x v="7"/>
    <n v="5"/>
    <n v="55.5"/>
    <n v="277.5"/>
    <x v="37"/>
    <x v="39"/>
    <x v="0"/>
    <x v="1"/>
    <x v="1"/>
    <x v="0"/>
    <x v="11"/>
    <n v="1"/>
    <n v="6"/>
    <x v="0"/>
  </r>
  <r>
    <s v="TX500945"/>
    <x v="6"/>
    <n v="1"/>
    <n v="51.7"/>
    <n v="51.7"/>
    <x v="37"/>
    <x v="47"/>
    <x v="0"/>
    <x v="2"/>
    <x v="0"/>
    <x v="0"/>
    <x v="19"/>
    <n v="14"/>
    <n v="6"/>
    <x v="0"/>
  </r>
  <r>
    <s v="TX500946"/>
    <x v="8"/>
    <n v="21"/>
    <n v="45.5"/>
    <n v="955.5"/>
    <x v="37"/>
    <x v="39"/>
    <x v="1"/>
    <x v="3"/>
    <x v="2"/>
    <x v="0"/>
    <x v="19"/>
    <n v="1"/>
    <n v="6"/>
    <x v="1"/>
  </r>
  <r>
    <s v="TX500947"/>
    <x v="8"/>
    <n v="2"/>
    <n v="33.799999999999997"/>
    <n v="67.599999999999994"/>
    <x v="37"/>
    <x v="45"/>
    <x v="1"/>
    <x v="3"/>
    <x v="0"/>
    <x v="0"/>
    <x v="20"/>
    <n v="6"/>
    <n v="6"/>
    <x v="1"/>
  </r>
  <r>
    <s v="TX500948"/>
    <x v="3"/>
    <n v="3"/>
    <n v="76.5"/>
    <n v="229.5"/>
    <x v="37"/>
    <x v="39"/>
    <x v="1"/>
    <x v="0"/>
    <x v="1"/>
    <x v="0"/>
    <x v="21"/>
    <n v="1"/>
    <n v="6"/>
    <x v="1"/>
  </r>
  <r>
    <s v="TX500949"/>
    <x v="9"/>
    <n v="3"/>
    <n v="42.6"/>
    <n v="127.80000000000001"/>
    <x v="37"/>
    <x v="45"/>
    <x v="1"/>
    <x v="2"/>
    <x v="2"/>
    <x v="0"/>
    <x v="2"/>
    <n v="6"/>
    <n v="6"/>
    <x v="1"/>
  </r>
  <r>
    <s v="TX500950"/>
    <x v="6"/>
    <n v="3"/>
    <n v="44.1"/>
    <n v="132.30000000000001"/>
    <x v="37"/>
    <x v="35"/>
    <x v="1"/>
    <x v="1"/>
    <x v="1"/>
    <x v="0"/>
    <x v="22"/>
    <n v="2"/>
    <n v="6"/>
    <x v="1"/>
  </r>
  <r>
    <s v="TX500951"/>
    <x v="8"/>
    <n v="2"/>
    <n v="40.9"/>
    <n v="81.8"/>
    <x v="37"/>
    <x v="40"/>
    <x v="0"/>
    <x v="0"/>
    <x v="0"/>
    <x v="0"/>
    <x v="3"/>
    <n v="4"/>
    <n v="6"/>
    <x v="0"/>
  </r>
  <r>
    <s v="TX500952"/>
    <x v="9"/>
    <n v="3"/>
    <n v="49.1"/>
    <n v="147.30000000000001"/>
    <x v="37"/>
    <x v="40"/>
    <x v="1"/>
    <x v="3"/>
    <x v="1"/>
    <x v="0"/>
    <x v="3"/>
    <n v="4"/>
    <n v="6"/>
    <x v="1"/>
  </r>
  <r>
    <s v="TX500953"/>
    <x v="18"/>
    <n v="1"/>
    <n v="85.3"/>
    <n v="85.3"/>
    <x v="37"/>
    <x v="40"/>
    <x v="0"/>
    <x v="1"/>
    <x v="1"/>
    <x v="0"/>
    <x v="3"/>
    <n v="4"/>
    <n v="6"/>
    <x v="0"/>
  </r>
  <r>
    <s v="TX500954"/>
    <x v="6"/>
    <n v="4"/>
    <n v="43.1"/>
    <n v="172.4"/>
    <x v="38"/>
    <x v="40"/>
    <x v="0"/>
    <x v="0"/>
    <x v="0"/>
    <x v="0"/>
    <x v="3"/>
    <n v="3"/>
    <n v="6"/>
    <x v="0"/>
  </r>
  <r>
    <s v="TX500955"/>
    <x v="4"/>
    <n v="4"/>
    <n v="46.2"/>
    <n v="184.8"/>
    <x v="38"/>
    <x v="35"/>
    <x v="0"/>
    <x v="2"/>
    <x v="0"/>
    <x v="0"/>
    <x v="3"/>
    <n v="1"/>
    <n v="6"/>
    <x v="0"/>
  </r>
  <r>
    <s v="TX500956"/>
    <x v="1"/>
    <n v="1"/>
    <n v="74.400000000000006"/>
    <n v="74.400000000000006"/>
    <x v="38"/>
    <x v="37"/>
    <x v="0"/>
    <x v="4"/>
    <x v="2"/>
    <x v="0"/>
    <x v="3"/>
    <n v="2"/>
    <n v="6"/>
    <x v="0"/>
  </r>
  <r>
    <s v="TX500957"/>
    <x v="17"/>
    <n v="2"/>
    <n v="51.2"/>
    <n v="102.4"/>
    <x v="38"/>
    <x v="35"/>
    <x v="0"/>
    <x v="1"/>
    <x v="0"/>
    <x v="0"/>
    <x v="3"/>
    <n v="1"/>
    <n v="6"/>
    <x v="0"/>
  </r>
  <r>
    <s v="TX500958"/>
    <x v="14"/>
    <n v="4"/>
    <n v="11.8"/>
    <n v="47.2"/>
    <x v="38"/>
    <x v="39"/>
    <x v="0"/>
    <x v="2"/>
    <x v="0"/>
    <x v="0"/>
    <x v="3"/>
    <n v="0"/>
    <n v="6"/>
    <x v="0"/>
  </r>
  <r>
    <s v="TX500959"/>
    <x v="10"/>
    <n v="27"/>
    <n v="40.799999999999997"/>
    <n v="1101.5999999999999"/>
    <x v="38"/>
    <x v="35"/>
    <x v="1"/>
    <x v="3"/>
    <x v="2"/>
    <x v="0"/>
    <x v="3"/>
    <n v="1"/>
    <n v="6"/>
    <x v="1"/>
  </r>
  <r>
    <s v="TX500960"/>
    <x v="8"/>
    <n v="1"/>
    <n v="24.7"/>
    <n v="24.7"/>
    <x v="38"/>
    <x v="37"/>
    <x v="1"/>
    <x v="2"/>
    <x v="1"/>
    <x v="0"/>
    <x v="3"/>
    <n v="2"/>
    <n v="6"/>
    <x v="1"/>
  </r>
  <r>
    <s v="TX500961"/>
    <x v="8"/>
    <n v="7"/>
    <n v="22.1"/>
    <n v="154.70000000000002"/>
    <x v="38"/>
    <x v="39"/>
    <x v="1"/>
    <x v="2"/>
    <x v="4"/>
    <x v="0"/>
    <x v="3"/>
    <n v="0"/>
    <n v="6"/>
    <x v="1"/>
  </r>
  <r>
    <s v="TX500962"/>
    <x v="8"/>
    <n v="1"/>
    <n v="18.100000000000001"/>
    <n v="18.100000000000001"/>
    <x v="38"/>
    <x v="44"/>
    <x v="0"/>
    <x v="3"/>
    <x v="2"/>
    <x v="0"/>
    <x v="3"/>
    <n v="4"/>
    <n v="6"/>
    <x v="0"/>
  </r>
  <r>
    <s v="TX500963"/>
    <x v="17"/>
    <n v="2"/>
    <n v="58.8"/>
    <n v="117.6"/>
    <x v="38"/>
    <x v="40"/>
    <x v="1"/>
    <x v="0"/>
    <x v="0"/>
    <x v="0"/>
    <x v="25"/>
    <n v="3"/>
    <n v="6"/>
    <x v="1"/>
  </r>
  <r>
    <s v="TX500964"/>
    <x v="18"/>
    <n v="2"/>
    <n v="30.8"/>
    <n v="61.6"/>
    <x v="38"/>
    <x v="35"/>
    <x v="1"/>
    <x v="0"/>
    <x v="0"/>
    <x v="0"/>
    <x v="6"/>
    <n v="1"/>
    <n v="6"/>
    <x v="1"/>
  </r>
  <r>
    <s v="TX500965"/>
    <x v="0"/>
    <n v="2"/>
    <n v="12"/>
    <n v="24"/>
    <x v="38"/>
    <x v="44"/>
    <x v="1"/>
    <x v="0"/>
    <x v="0"/>
    <x v="0"/>
    <x v="6"/>
    <n v="4"/>
    <n v="6"/>
    <x v="1"/>
  </r>
  <r>
    <s v="TX500966"/>
    <x v="0"/>
    <n v="4"/>
    <n v="13.6"/>
    <n v="54.4"/>
    <x v="38"/>
    <x v="40"/>
    <x v="0"/>
    <x v="2"/>
    <x v="0"/>
    <x v="0"/>
    <x v="6"/>
    <n v="3"/>
    <n v="6"/>
    <x v="0"/>
  </r>
  <r>
    <s v="TX500967"/>
    <x v="0"/>
    <n v="1"/>
    <n v="17.899999999999999"/>
    <n v="17.899999999999999"/>
    <x v="38"/>
    <x v="35"/>
    <x v="0"/>
    <x v="3"/>
    <x v="0"/>
    <x v="0"/>
    <x v="6"/>
    <n v="1"/>
    <n v="6"/>
    <x v="0"/>
  </r>
  <r>
    <s v="TX500968"/>
    <x v="9"/>
    <n v="2"/>
    <n v="38.6"/>
    <n v="77.2"/>
    <x v="38"/>
    <x v="44"/>
    <x v="1"/>
    <x v="4"/>
    <x v="0"/>
    <x v="0"/>
    <x v="7"/>
    <n v="4"/>
    <n v="6"/>
    <x v="1"/>
  </r>
  <r>
    <s v="TX500969"/>
    <x v="5"/>
    <n v="5"/>
    <n v="32.700000000000003"/>
    <n v="163.5"/>
    <x v="38"/>
    <x v="35"/>
    <x v="0"/>
    <x v="2"/>
    <x v="2"/>
    <x v="0"/>
    <x v="8"/>
    <n v="1"/>
    <n v="6"/>
    <x v="0"/>
  </r>
  <r>
    <s v="TX500970"/>
    <x v="3"/>
    <n v="2"/>
    <n v="111.4"/>
    <n v="222.8"/>
    <x v="38"/>
    <x v="35"/>
    <x v="1"/>
    <x v="1"/>
    <x v="0"/>
    <x v="0"/>
    <x v="8"/>
    <n v="1"/>
    <n v="6"/>
    <x v="1"/>
  </r>
  <r>
    <s v="TX500971"/>
    <x v="2"/>
    <n v="6"/>
    <n v="80.3"/>
    <n v="481.79999999999995"/>
    <x v="38"/>
    <x v="37"/>
    <x v="1"/>
    <x v="1"/>
    <x v="0"/>
    <x v="0"/>
    <x v="8"/>
    <n v="2"/>
    <n v="6"/>
    <x v="1"/>
  </r>
  <r>
    <s v="TX500972"/>
    <x v="6"/>
    <n v="2"/>
    <n v="58.9"/>
    <n v="117.8"/>
    <x v="38"/>
    <x v="35"/>
    <x v="0"/>
    <x v="1"/>
    <x v="0"/>
    <x v="0"/>
    <x v="8"/>
    <n v="1"/>
    <n v="6"/>
    <x v="0"/>
  </r>
  <r>
    <s v="TX500973"/>
    <x v="6"/>
    <n v="3"/>
    <n v="51.9"/>
    <n v="155.69999999999999"/>
    <x v="38"/>
    <x v="37"/>
    <x v="1"/>
    <x v="1"/>
    <x v="4"/>
    <x v="0"/>
    <x v="8"/>
    <n v="2"/>
    <n v="6"/>
    <x v="1"/>
  </r>
  <r>
    <s v="TX500974"/>
    <x v="2"/>
    <n v="3"/>
    <n v="50.3"/>
    <n v="150.89999999999998"/>
    <x v="38"/>
    <x v="35"/>
    <x v="0"/>
    <x v="2"/>
    <x v="0"/>
    <x v="0"/>
    <x v="17"/>
    <n v="1"/>
    <n v="6"/>
    <x v="0"/>
  </r>
  <r>
    <s v="TX500975"/>
    <x v="11"/>
    <n v="6"/>
    <n v="45"/>
    <n v="270"/>
    <x v="38"/>
    <x v="42"/>
    <x v="1"/>
    <x v="3"/>
    <x v="0"/>
    <x v="0"/>
    <x v="9"/>
    <n v="6"/>
    <n v="6"/>
    <x v="1"/>
  </r>
  <r>
    <s v="TX500976"/>
    <x v="10"/>
    <n v="6"/>
    <n v="44.7"/>
    <n v="268.20000000000005"/>
    <x v="38"/>
    <x v="37"/>
    <x v="1"/>
    <x v="2"/>
    <x v="0"/>
    <x v="0"/>
    <x v="11"/>
    <n v="2"/>
    <n v="6"/>
    <x v="1"/>
  </r>
  <r>
    <s v="TX500977"/>
    <x v="18"/>
    <n v="15"/>
    <n v="33"/>
    <n v="495"/>
    <x v="38"/>
    <x v="35"/>
    <x v="1"/>
    <x v="2"/>
    <x v="0"/>
    <x v="0"/>
    <x v="11"/>
    <n v="1"/>
    <n v="6"/>
    <x v="1"/>
  </r>
  <r>
    <s v="TX500978"/>
    <x v="1"/>
    <n v="5"/>
    <n v="44.9"/>
    <n v="224.5"/>
    <x v="38"/>
    <x v="40"/>
    <x v="1"/>
    <x v="2"/>
    <x v="2"/>
    <x v="0"/>
    <x v="18"/>
    <n v="3"/>
    <n v="6"/>
    <x v="1"/>
  </r>
  <r>
    <s v="TX500979"/>
    <x v="10"/>
    <n v="2"/>
    <n v="34.6"/>
    <n v="69.2"/>
    <x v="38"/>
    <x v="44"/>
    <x v="1"/>
    <x v="0"/>
    <x v="1"/>
    <x v="0"/>
    <x v="19"/>
    <n v="4"/>
    <n v="6"/>
    <x v="1"/>
  </r>
  <r>
    <s v="TX500980"/>
    <x v="7"/>
    <n v="7"/>
    <n v="47.1"/>
    <n v="329.7"/>
    <x v="38"/>
    <x v="45"/>
    <x v="1"/>
    <x v="0"/>
    <x v="0"/>
    <x v="0"/>
    <x v="13"/>
    <n v="5"/>
    <n v="6"/>
    <x v="1"/>
  </r>
  <r>
    <s v="TX500981"/>
    <x v="4"/>
    <n v="5"/>
    <n v="26.1"/>
    <n v="130.5"/>
    <x v="38"/>
    <x v="45"/>
    <x v="0"/>
    <x v="0"/>
    <x v="2"/>
    <x v="0"/>
    <x v="21"/>
    <n v="5"/>
    <n v="6"/>
    <x v="0"/>
  </r>
  <r>
    <s v="TX500982"/>
    <x v="12"/>
    <n v="5"/>
    <n v="66.8"/>
    <n v="334"/>
    <x v="38"/>
    <x v="40"/>
    <x v="1"/>
    <x v="0"/>
    <x v="0"/>
    <x v="0"/>
    <x v="21"/>
    <n v="3"/>
    <n v="6"/>
    <x v="1"/>
  </r>
  <r>
    <s v="TX500983"/>
    <x v="2"/>
    <n v="2"/>
    <n v="167.9"/>
    <n v="335.8"/>
    <x v="38"/>
    <x v="35"/>
    <x v="1"/>
    <x v="3"/>
    <x v="2"/>
    <x v="0"/>
    <x v="21"/>
    <n v="1"/>
    <n v="6"/>
    <x v="1"/>
  </r>
  <r>
    <s v="TX500984"/>
    <x v="10"/>
    <n v="9"/>
    <n v="34.6"/>
    <n v="311.40000000000003"/>
    <x v="38"/>
    <x v="35"/>
    <x v="1"/>
    <x v="2"/>
    <x v="1"/>
    <x v="0"/>
    <x v="21"/>
    <n v="1"/>
    <n v="6"/>
    <x v="1"/>
  </r>
  <r>
    <s v="TX500985"/>
    <x v="8"/>
    <n v="3"/>
    <n v="35.1"/>
    <n v="105.30000000000001"/>
    <x v="39"/>
    <x v="45"/>
    <x v="0"/>
    <x v="4"/>
    <x v="2"/>
    <x v="0"/>
    <x v="1"/>
    <n v="4"/>
    <n v="7"/>
    <x v="0"/>
  </r>
  <r>
    <s v="TX500986"/>
    <x v="6"/>
    <n v="4"/>
    <n v="104.5"/>
    <n v="418"/>
    <x v="39"/>
    <x v="37"/>
    <x v="0"/>
    <x v="1"/>
    <x v="1"/>
    <x v="0"/>
    <x v="1"/>
    <n v="1"/>
    <n v="7"/>
    <x v="0"/>
  </r>
  <r>
    <s v="TX500987"/>
    <x v="8"/>
    <n v="1"/>
    <n v="37.9"/>
    <n v="37.9"/>
    <x v="39"/>
    <x v="40"/>
    <x v="2"/>
    <x v="1"/>
    <x v="2"/>
    <x v="0"/>
    <x v="2"/>
    <n v="2"/>
    <n v="7"/>
    <x v="2"/>
  </r>
  <r>
    <s v="TX500988"/>
    <x v="4"/>
    <n v="3"/>
    <n v="25.5"/>
    <n v="76.5"/>
    <x v="39"/>
    <x v="44"/>
    <x v="0"/>
    <x v="3"/>
    <x v="0"/>
    <x v="0"/>
    <x v="2"/>
    <n v="3"/>
    <n v="7"/>
    <x v="0"/>
  </r>
  <r>
    <s v="TX500989"/>
    <x v="0"/>
    <n v="3"/>
    <n v="32"/>
    <n v="96"/>
    <x v="39"/>
    <x v="45"/>
    <x v="1"/>
    <x v="1"/>
    <x v="0"/>
    <x v="0"/>
    <x v="22"/>
    <n v="4"/>
    <n v="7"/>
    <x v="1"/>
  </r>
  <r>
    <s v="TX500990"/>
    <x v="1"/>
    <n v="1"/>
    <n v="47.1"/>
    <n v="47.1"/>
    <x v="39"/>
    <x v="37"/>
    <x v="1"/>
    <x v="0"/>
    <x v="0"/>
    <x v="0"/>
    <x v="34"/>
    <n v="1"/>
    <n v="7"/>
    <x v="1"/>
  </r>
  <r>
    <s v="TX500991"/>
    <x v="6"/>
    <n v="2"/>
    <n v="50.6"/>
    <n v="101.2"/>
    <x v="39"/>
    <x v="48"/>
    <x v="2"/>
    <x v="0"/>
    <x v="0"/>
    <x v="0"/>
    <x v="3"/>
    <n v="6"/>
    <n v="7"/>
    <x v="2"/>
  </r>
  <r>
    <s v="TX500992"/>
    <x v="6"/>
    <n v="5"/>
    <n v="81.7"/>
    <n v="408.5"/>
    <x v="39"/>
    <x v="37"/>
    <x v="1"/>
    <x v="1"/>
    <x v="2"/>
    <x v="0"/>
    <x v="3"/>
    <n v="1"/>
    <n v="7"/>
    <x v="1"/>
  </r>
  <r>
    <s v="TX500993"/>
    <x v="5"/>
    <n v="2"/>
    <n v="50.7"/>
    <n v="101.4"/>
    <x v="39"/>
    <x v="37"/>
    <x v="3"/>
    <x v="2"/>
    <x v="2"/>
    <x v="0"/>
    <x v="3"/>
    <n v="1"/>
    <n v="7"/>
    <x v="3"/>
  </r>
  <r>
    <s v="TX500994"/>
    <x v="2"/>
    <n v="19"/>
    <n v="67.3"/>
    <n v="1278.7"/>
    <x v="39"/>
    <x v="45"/>
    <x v="1"/>
    <x v="2"/>
    <x v="0"/>
    <x v="0"/>
    <x v="3"/>
    <n v="4"/>
    <n v="7"/>
    <x v="1"/>
  </r>
  <r>
    <s v="TX500995"/>
    <x v="2"/>
    <n v="4"/>
    <n v="64.8"/>
    <n v="259.2"/>
    <x v="39"/>
    <x v="44"/>
    <x v="1"/>
    <x v="3"/>
    <x v="0"/>
    <x v="0"/>
    <x v="3"/>
    <n v="3"/>
    <n v="7"/>
    <x v="1"/>
  </r>
  <r>
    <s v="TX500996"/>
    <x v="5"/>
    <n v="22"/>
    <n v="61.3"/>
    <n v="1348.6"/>
    <x v="39"/>
    <x v="37"/>
    <x v="1"/>
    <x v="0"/>
    <x v="2"/>
    <x v="0"/>
    <x v="3"/>
    <n v="1"/>
    <n v="7"/>
    <x v="1"/>
  </r>
  <r>
    <s v="TX500997"/>
    <x v="14"/>
    <n v="1"/>
    <n v="32.9"/>
    <n v="32.9"/>
    <x v="39"/>
    <x v="44"/>
    <x v="1"/>
    <x v="4"/>
    <x v="0"/>
    <x v="0"/>
    <x v="3"/>
    <n v="3"/>
    <n v="7"/>
    <x v="1"/>
  </r>
  <r>
    <s v="TX500998"/>
    <x v="6"/>
    <n v="2"/>
    <n v="100.8"/>
    <n v="201.6"/>
    <x v="39"/>
    <x v="44"/>
    <x v="1"/>
    <x v="0"/>
    <x v="0"/>
    <x v="0"/>
    <x v="3"/>
    <n v="3"/>
    <n v="7"/>
    <x v="1"/>
  </r>
  <r>
    <s v="TX500999"/>
    <x v="8"/>
    <n v="4"/>
    <n v="25.1"/>
    <n v="100.4"/>
    <x v="39"/>
    <x v="40"/>
    <x v="1"/>
    <x v="1"/>
    <x v="0"/>
    <x v="0"/>
    <x v="3"/>
    <n v="2"/>
    <n v="7"/>
    <x v="1"/>
  </r>
  <r>
    <s v="TX501000"/>
    <x v="17"/>
    <n v="1"/>
    <n v="48.5"/>
    <n v="48.5"/>
    <x v="39"/>
    <x v="37"/>
    <x v="1"/>
    <x v="0"/>
    <x v="1"/>
    <x v="0"/>
    <x v="3"/>
    <n v="1"/>
    <n v="7"/>
    <x v="1"/>
  </r>
  <r>
    <s v="TX501001"/>
    <x v="7"/>
    <n v="2"/>
    <n v="33.6"/>
    <n v="67.2"/>
    <x v="39"/>
    <x v="45"/>
    <x v="1"/>
    <x v="2"/>
    <x v="2"/>
    <x v="0"/>
    <x v="3"/>
    <n v="4"/>
    <n v="7"/>
    <x v="1"/>
  </r>
  <r>
    <s v="TX501002"/>
    <x v="8"/>
    <n v="1"/>
    <n v="39.299999999999997"/>
    <n v="39.299999999999997"/>
    <x v="39"/>
    <x v="49"/>
    <x v="1"/>
    <x v="1"/>
    <x v="1"/>
    <x v="0"/>
    <x v="49"/>
    <n v="11"/>
    <n v="7"/>
    <x v="1"/>
  </r>
  <r>
    <s v="TX501003"/>
    <x v="4"/>
    <n v="10"/>
    <n v="48.8"/>
    <n v="488"/>
    <x v="39"/>
    <x v="40"/>
    <x v="1"/>
    <x v="3"/>
    <x v="1"/>
    <x v="0"/>
    <x v="25"/>
    <n v="2"/>
    <n v="7"/>
    <x v="1"/>
  </r>
  <r>
    <s v="TX501004"/>
    <x v="6"/>
    <n v="8"/>
    <n v="72.8"/>
    <n v="582.4"/>
    <x v="39"/>
    <x v="40"/>
    <x v="0"/>
    <x v="1"/>
    <x v="2"/>
    <x v="0"/>
    <x v="5"/>
    <n v="2"/>
    <n v="7"/>
    <x v="0"/>
  </r>
  <r>
    <s v="TX501005"/>
    <x v="10"/>
    <n v="8"/>
    <n v="46.2"/>
    <n v="369.6"/>
    <x v="39"/>
    <x v="37"/>
    <x v="0"/>
    <x v="3"/>
    <x v="4"/>
    <x v="0"/>
    <x v="5"/>
    <n v="1"/>
    <n v="7"/>
    <x v="0"/>
  </r>
  <r>
    <s v="TX501006"/>
    <x v="4"/>
    <n v="2"/>
    <n v="20.7"/>
    <n v="41.4"/>
    <x v="39"/>
    <x v="37"/>
    <x v="1"/>
    <x v="2"/>
    <x v="3"/>
    <x v="0"/>
    <x v="6"/>
    <n v="1"/>
    <n v="7"/>
    <x v="1"/>
  </r>
  <r>
    <s v="TX501007"/>
    <x v="0"/>
    <n v="1"/>
    <n v="35.700000000000003"/>
    <n v="35.700000000000003"/>
    <x v="39"/>
    <x v="40"/>
    <x v="1"/>
    <x v="3"/>
    <x v="0"/>
    <x v="0"/>
    <x v="6"/>
    <n v="2"/>
    <n v="7"/>
    <x v="1"/>
  </r>
  <r>
    <s v="TX501008"/>
    <x v="2"/>
    <n v="16"/>
    <n v="166.2"/>
    <n v="2659.2"/>
    <x v="39"/>
    <x v="40"/>
    <x v="2"/>
    <x v="2"/>
    <x v="0"/>
    <x v="0"/>
    <x v="7"/>
    <n v="2"/>
    <n v="7"/>
    <x v="2"/>
  </r>
  <r>
    <s v="TX501009"/>
    <x v="6"/>
    <n v="4"/>
    <n v="85.8"/>
    <n v="343.2"/>
    <x v="39"/>
    <x v="37"/>
    <x v="1"/>
    <x v="1"/>
    <x v="1"/>
    <x v="0"/>
    <x v="7"/>
    <n v="1"/>
    <n v="7"/>
    <x v="1"/>
  </r>
  <r>
    <s v="TX501010"/>
    <x v="8"/>
    <n v="3"/>
    <n v="26"/>
    <n v="78"/>
    <x v="39"/>
    <x v="40"/>
    <x v="3"/>
    <x v="1"/>
    <x v="0"/>
    <x v="0"/>
    <x v="7"/>
    <n v="2"/>
    <n v="7"/>
    <x v="3"/>
  </r>
  <r>
    <s v="TX501011"/>
    <x v="2"/>
    <n v="13"/>
    <n v="116.6"/>
    <n v="1515.8"/>
    <x v="39"/>
    <x v="44"/>
    <x v="1"/>
    <x v="0"/>
    <x v="0"/>
    <x v="0"/>
    <x v="8"/>
    <n v="3"/>
    <n v="7"/>
    <x v="1"/>
  </r>
  <r>
    <s v="TX501012"/>
    <x v="9"/>
    <n v="7"/>
    <n v="53.9"/>
    <n v="377.3"/>
    <x v="39"/>
    <x v="44"/>
    <x v="3"/>
    <x v="0"/>
    <x v="2"/>
    <x v="0"/>
    <x v="8"/>
    <n v="3"/>
    <n v="7"/>
    <x v="3"/>
  </r>
  <r>
    <s v="TX501013"/>
    <x v="12"/>
    <n v="5"/>
    <n v="72.3"/>
    <n v="361.5"/>
    <x v="39"/>
    <x v="40"/>
    <x v="2"/>
    <x v="2"/>
    <x v="2"/>
    <x v="0"/>
    <x v="8"/>
    <n v="2"/>
    <n v="7"/>
    <x v="2"/>
  </r>
  <r>
    <s v="TX501014"/>
    <x v="5"/>
    <n v="2"/>
    <n v="31.4"/>
    <n v="62.8"/>
    <x v="39"/>
    <x v="40"/>
    <x v="1"/>
    <x v="0"/>
    <x v="0"/>
    <x v="0"/>
    <x v="8"/>
    <n v="2"/>
    <n v="7"/>
    <x v="1"/>
  </r>
  <r>
    <s v="TX501015"/>
    <x v="13"/>
    <n v="2"/>
    <n v="53.1"/>
    <n v="106.2"/>
    <x v="39"/>
    <x v="44"/>
    <x v="0"/>
    <x v="1"/>
    <x v="0"/>
    <x v="0"/>
    <x v="8"/>
    <n v="3"/>
    <n v="7"/>
    <x v="0"/>
  </r>
  <r>
    <s v="TX501016"/>
    <x v="2"/>
    <n v="4"/>
    <n v="56.2"/>
    <n v="224.8"/>
    <x v="39"/>
    <x v="37"/>
    <x v="1"/>
    <x v="0"/>
    <x v="0"/>
    <x v="0"/>
    <x v="8"/>
    <n v="1"/>
    <n v="7"/>
    <x v="1"/>
  </r>
  <r>
    <s v="TX501017"/>
    <x v="1"/>
    <n v="10"/>
    <n v="77.3"/>
    <n v="773"/>
    <x v="39"/>
    <x v="37"/>
    <x v="1"/>
    <x v="2"/>
    <x v="0"/>
    <x v="0"/>
    <x v="11"/>
    <n v="1"/>
    <n v="7"/>
    <x v="1"/>
  </r>
  <r>
    <s v="TX501018"/>
    <x v="6"/>
    <n v="13"/>
    <n v="57.8"/>
    <n v="751.4"/>
    <x v="39"/>
    <x v="37"/>
    <x v="2"/>
    <x v="0"/>
    <x v="0"/>
    <x v="0"/>
    <x v="53"/>
    <n v="1"/>
    <n v="7"/>
    <x v="2"/>
  </r>
  <r>
    <s v="TX501019"/>
    <x v="12"/>
    <n v="15"/>
    <n v="42.1"/>
    <n v="631.5"/>
    <x v="39"/>
    <x v="40"/>
    <x v="1"/>
    <x v="1"/>
    <x v="1"/>
    <x v="0"/>
    <x v="53"/>
    <n v="2"/>
    <n v="7"/>
    <x v="1"/>
  </r>
  <r>
    <s v="TX501020"/>
    <x v="8"/>
    <n v="9"/>
    <n v="22.8"/>
    <n v="205.20000000000002"/>
    <x v="39"/>
    <x v="45"/>
    <x v="0"/>
    <x v="2"/>
    <x v="2"/>
    <x v="0"/>
    <x v="19"/>
    <n v="4"/>
    <n v="7"/>
    <x v="0"/>
  </r>
  <r>
    <s v="TX501021"/>
    <x v="2"/>
    <n v="3"/>
    <n v="171.1"/>
    <n v="513.29999999999995"/>
    <x v="40"/>
    <x v="43"/>
    <x v="1"/>
    <x v="2"/>
    <x v="1"/>
    <x v="0"/>
    <x v="19"/>
    <n v="7"/>
    <n v="7"/>
    <x v="1"/>
  </r>
  <r>
    <s v="TX501022"/>
    <x v="8"/>
    <n v="1"/>
    <n v="28"/>
    <n v="28"/>
    <x v="40"/>
    <x v="44"/>
    <x v="0"/>
    <x v="2"/>
    <x v="2"/>
    <x v="0"/>
    <x v="21"/>
    <n v="2"/>
    <n v="7"/>
    <x v="0"/>
  </r>
  <r>
    <s v="TX501023"/>
    <x v="6"/>
    <n v="7"/>
    <n v="50.2"/>
    <n v="351.40000000000003"/>
    <x v="40"/>
    <x v="44"/>
    <x v="0"/>
    <x v="2"/>
    <x v="0"/>
    <x v="0"/>
    <x v="21"/>
    <n v="2"/>
    <n v="7"/>
    <x v="0"/>
  </r>
  <r>
    <s v="TX501024"/>
    <x v="6"/>
    <n v="2"/>
    <n v="56"/>
    <n v="112"/>
    <x v="40"/>
    <x v="37"/>
    <x v="0"/>
    <x v="0"/>
    <x v="2"/>
    <x v="0"/>
    <x v="22"/>
    <n v="0"/>
    <n v="7"/>
    <x v="0"/>
  </r>
  <r>
    <s v="TX501025"/>
    <x v="1"/>
    <n v="2"/>
    <n v="38.299999999999997"/>
    <n v="76.599999999999994"/>
    <x v="40"/>
    <x v="40"/>
    <x v="1"/>
    <x v="1"/>
    <x v="0"/>
    <x v="0"/>
    <x v="3"/>
    <n v="1"/>
    <n v="7"/>
    <x v="1"/>
  </r>
  <r>
    <s v="TX501026"/>
    <x v="0"/>
    <n v="5"/>
    <n v="22.3"/>
    <n v="111.5"/>
    <x v="40"/>
    <x v="42"/>
    <x v="1"/>
    <x v="2"/>
    <x v="1"/>
    <x v="0"/>
    <x v="3"/>
    <n v="4"/>
    <n v="7"/>
    <x v="1"/>
  </r>
  <r>
    <s v="TX501027"/>
    <x v="0"/>
    <n v="3"/>
    <n v="22.3"/>
    <n v="66.900000000000006"/>
    <x v="40"/>
    <x v="45"/>
    <x v="1"/>
    <x v="2"/>
    <x v="0"/>
    <x v="0"/>
    <x v="3"/>
    <n v="3"/>
    <n v="7"/>
    <x v="1"/>
  </r>
  <r>
    <s v="TX501028"/>
    <x v="1"/>
    <n v="1"/>
    <n v="32.9"/>
    <n v="32.9"/>
    <x v="40"/>
    <x v="48"/>
    <x v="1"/>
    <x v="0"/>
    <x v="0"/>
    <x v="0"/>
    <x v="3"/>
    <n v="5"/>
    <n v="7"/>
    <x v="1"/>
  </r>
  <r>
    <s v="TX501029"/>
    <x v="10"/>
    <n v="3"/>
    <n v="31.9"/>
    <n v="95.699999999999989"/>
    <x v="40"/>
    <x v="48"/>
    <x v="1"/>
    <x v="0"/>
    <x v="0"/>
    <x v="0"/>
    <x v="3"/>
    <n v="5"/>
    <n v="7"/>
    <x v="1"/>
  </r>
  <r>
    <s v="TX501030"/>
    <x v="6"/>
    <n v="2"/>
    <n v="94"/>
    <n v="188"/>
    <x v="40"/>
    <x v="40"/>
    <x v="0"/>
    <x v="2"/>
    <x v="2"/>
    <x v="0"/>
    <x v="3"/>
    <n v="1"/>
    <n v="7"/>
    <x v="0"/>
  </r>
  <r>
    <s v="TX501031"/>
    <x v="10"/>
    <n v="2"/>
    <n v="30.7"/>
    <n v="61.4"/>
    <x v="40"/>
    <x v="40"/>
    <x v="1"/>
    <x v="0"/>
    <x v="1"/>
    <x v="0"/>
    <x v="3"/>
    <n v="1"/>
    <n v="7"/>
    <x v="1"/>
  </r>
  <r>
    <s v="TX501032"/>
    <x v="5"/>
    <n v="5"/>
    <n v="90.5"/>
    <n v="452.5"/>
    <x v="40"/>
    <x v="43"/>
    <x v="0"/>
    <x v="0"/>
    <x v="2"/>
    <x v="0"/>
    <x v="3"/>
    <n v="7"/>
    <n v="7"/>
    <x v="0"/>
  </r>
  <r>
    <s v="TX501033"/>
    <x v="8"/>
    <n v="5"/>
    <n v="25.3"/>
    <n v="126.5"/>
    <x v="40"/>
    <x v="42"/>
    <x v="1"/>
    <x v="0"/>
    <x v="2"/>
    <x v="0"/>
    <x v="3"/>
    <n v="4"/>
    <n v="7"/>
    <x v="1"/>
  </r>
  <r>
    <s v="TX501034"/>
    <x v="6"/>
    <n v="3"/>
    <n v="58.1"/>
    <n v="174.3"/>
    <x v="40"/>
    <x v="42"/>
    <x v="2"/>
    <x v="0"/>
    <x v="2"/>
    <x v="0"/>
    <x v="3"/>
    <n v="4"/>
    <n v="7"/>
    <x v="2"/>
  </r>
  <r>
    <s v="TX501035"/>
    <x v="2"/>
    <n v="3"/>
    <n v="74.900000000000006"/>
    <n v="224.70000000000002"/>
    <x v="40"/>
    <x v="40"/>
    <x v="1"/>
    <x v="4"/>
    <x v="0"/>
    <x v="0"/>
    <x v="3"/>
    <n v="1"/>
    <n v="7"/>
    <x v="1"/>
  </r>
  <r>
    <s v="TX501036"/>
    <x v="4"/>
    <n v="2"/>
    <n v="32.5"/>
    <n v="65"/>
    <x v="40"/>
    <x v="40"/>
    <x v="0"/>
    <x v="2"/>
    <x v="2"/>
    <x v="0"/>
    <x v="43"/>
    <n v="1"/>
    <n v="7"/>
    <x v="0"/>
  </r>
  <r>
    <s v="TX501037"/>
    <x v="4"/>
    <n v="5"/>
    <n v="62"/>
    <n v="310"/>
    <x v="40"/>
    <x v="40"/>
    <x v="0"/>
    <x v="4"/>
    <x v="2"/>
    <x v="0"/>
    <x v="25"/>
    <n v="1"/>
    <n v="7"/>
    <x v="0"/>
  </r>
  <r>
    <s v="TX501038"/>
    <x v="13"/>
    <n v="6"/>
    <n v="28.9"/>
    <n v="173.39999999999998"/>
    <x v="40"/>
    <x v="45"/>
    <x v="1"/>
    <x v="0"/>
    <x v="1"/>
    <x v="0"/>
    <x v="6"/>
    <n v="3"/>
    <n v="7"/>
    <x v="1"/>
  </r>
  <r>
    <s v="TX501039"/>
    <x v="6"/>
    <n v="8"/>
    <n v="42.8"/>
    <n v="342.4"/>
    <x v="40"/>
    <x v="44"/>
    <x v="1"/>
    <x v="0"/>
    <x v="2"/>
    <x v="0"/>
    <x v="6"/>
    <n v="2"/>
    <n v="7"/>
    <x v="1"/>
  </r>
  <r>
    <s v="TX501040"/>
    <x v="8"/>
    <n v="8"/>
    <n v="39.4"/>
    <n v="315.2"/>
    <x v="40"/>
    <x v="44"/>
    <x v="0"/>
    <x v="0"/>
    <x v="0"/>
    <x v="0"/>
    <x v="36"/>
    <n v="2"/>
    <n v="7"/>
    <x v="0"/>
  </r>
  <r>
    <s v="TX501041"/>
    <x v="18"/>
    <n v="3"/>
    <n v="66.400000000000006"/>
    <n v="199.20000000000002"/>
    <x v="40"/>
    <x v="40"/>
    <x v="2"/>
    <x v="2"/>
    <x v="1"/>
    <x v="0"/>
    <x v="7"/>
    <n v="1"/>
    <n v="7"/>
    <x v="2"/>
  </r>
  <r>
    <s v="TX501042"/>
    <x v="17"/>
    <n v="4"/>
    <n v="35.9"/>
    <n v="143.6"/>
    <x v="40"/>
    <x v="43"/>
    <x v="1"/>
    <x v="1"/>
    <x v="0"/>
    <x v="0"/>
    <x v="7"/>
    <n v="7"/>
    <n v="7"/>
    <x v="1"/>
  </r>
  <r>
    <s v="TX501043"/>
    <x v="0"/>
    <n v="4"/>
    <n v="26.9"/>
    <n v="107.6"/>
    <x v="40"/>
    <x v="40"/>
    <x v="0"/>
    <x v="1"/>
    <x v="0"/>
    <x v="0"/>
    <x v="7"/>
    <n v="1"/>
    <n v="7"/>
    <x v="0"/>
  </r>
  <r>
    <s v="TX501044"/>
    <x v="2"/>
    <n v="1"/>
    <n v="55.1"/>
    <n v="55.1"/>
    <x v="40"/>
    <x v="40"/>
    <x v="1"/>
    <x v="0"/>
    <x v="0"/>
    <x v="0"/>
    <x v="7"/>
    <n v="1"/>
    <n v="7"/>
    <x v="1"/>
  </r>
  <r>
    <s v="TX501045"/>
    <x v="4"/>
    <n v="2"/>
    <n v="23.9"/>
    <n v="47.8"/>
    <x v="40"/>
    <x v="40"/>
    <x v="0"/>
    <x v="0"/>
    <x v="2"/>
    <x v="0"/>
    <x v="8"/>
    <n v="1"/>
    <n v="7"/>
    <x v="0"/>
  </r>
  <r>
    <s v="TX501046"/>
    <x v="9"/>
    <n v="13"/>
    <n v="21.1"/>
    <n v="274.3"/>
    <x v="40"/>
    <x v="50"/>
    <x v="1"/>
    <x v="0"/>
    <x v="1"/>
    <x v="0"/>
    <x v="8"/>
    <n v="8"/>
    <n v="7"/>
    <x v="1"/>
  </r>
  <r>
    <s v="TX501047"/>
    <x v="8"/>
    <n v="5"/>
    <n v="33.799999999999997"/>
    <n v="169"/>
    <x v="40"/>
    <x v="44"/>
    <x v="1"/>
    <x v="0"/>
    <x v="0"/>
    <x v="0"/>
    <x v="8"/>
    <n v="2"/>
    <n v="7"/>
    <x v="1"/>
  </r>
  <r>
    <s v="TX501048"/>
    <x v="2"/>
    <n v="4"/>
    <n v="56.1"/>
    <n v="224.4"/>
    <x v="40"/>
    <x v="37"/>
    <x v="1"/>
    <x v="3"/>
    <x v="2"/>
    <x v="0"/>
    <x v="9"/>
    <n v="0"/>
    <n v="7"/>
    <x v="1"/>
  </r>
  <r>
    <s v="TX501049"/>
    <x v="3"/>
    <n v="1"/>
    <n v="58.5"/>
    <n v="58.5"/>
    <x v="41"/>
    <x v="48"/>
    <x v="1"/>
    <x v="1"/>
    <x v="2"/>
    <x v="0"/>
    <x v="9"/>
    <n v="4"/>
    <n v="7"/>
    <x v="1"/>
  </r>
  <r>
    <s v="TX501050"/>
    <x v="6"/>
    <n v="1"/>
    <n v="84.2"/>
    <n v="84.2"/>
    <x v="41"/>
    <x v="45"/>
    <x v="0"/>
    <x v="3"/>
    <x v="0"/>
    <x v="0"/>
    <x v="11"/>
    <n v="2"/>
    <n v="7"/>
    <x v="0"/>
  </r>
  <r>
    <s v="TX501051"/>
    <x v="11"/>
    <n v="4"/>
    <n v="52"/>
    <n v="208"/>
    <x v="41"/>
    <x v="42"/>
    <x v="0"/>
    <x v="0"/>
    <x v="0"/>
    <x v="0"/>
    <x v="11"/>
    <n v="3"/>
    <n v="7"/>
    <x v="0"/>
  </r>
  <r>
    <s v="TX501052"/>
    <x v="4"/>
    <n v="5"/>
    <n v="31.5"/>
    <n v="157.5"/>
    <x v="41"/>
    <x v="44"/>
    <x v="1"/>
    <x v="0"/>
    <x v="2"/>
    <x v="0"/>
    <x v="11"/>
    <n v="1"/>
    <n v="7"/>
    <x v="1"/>
  </r>
  <r>
    <s v="TX501053"/>
    <x v="16"/>
    <n v="3"/>
    <n v="46.2"/>
    <n v="138.60000000000002"/>
    <x v="41"/>
    <x v="44"/>
    <x v="0"/>
    <x v="0"/>
    <x v="0"/>
    <x v="0"/>
    <x v="53"/>
    <n v="1"/>
    <n v="7"/>
    <x v="0"/>
  </r>
  <r>
    <s v="TX501054"/>
    <x v="2"/>
    <n v="6"/>
    <n v="135"/>
    <n v="810"/>
    <x v="41"/>
    <x v="44"/>
    <x v="1"/>
    <x v="1"/>
    <x v="2"/>
    <x v="0"/>
    <x v="18"/>
    <n v="1"/>
    <n v="7"/>
    <x v="1"/>
  </r>
  <r>
    <s v="TX501055"/>
    <x v="12"/>
    <n v="3"/>
    <n v="92.2"/>
    <n v="276.60000000000002"/>
    <x v="41"/>
    <x v="48"/>
    <x v="0"/>
    <x v="0"/>
    <x v="0"/>
    <x v="0"/>
    <x v="21"/>
    <n v="4"/>
    <n v="7"/>
    <x v="0"/>
  </r>
  <r>
    <s v="TX501056"/>
    <x v="8"/>
    <n v="1"/>
    <n v="36.6"/>
    <n v="36.6"/>
    <x v="41"/>
    <x v="45"/>
    <x v="0"/>
    <x v="2"/>
    <x v="2"/>
    <x v="0"/>
    <x v="21"/>
    <n v="2"/>
    <n v="7"/>
    <x v="0"/>
  </r>
  <r>
    <s v="TX501057"/>
    <x v="9"/>
    <n v="2"/>
    <n v="50.6"/>
    <n v="101.2"/>
    <x v="41"/>
    <x v="42"/>
    <x v="1"/>
    <x v="0"/>
    <x v="0"/>
    <x v="0"/>
    <x v="2"/>
    <n v="3"/>
    <n v="7"/>
    <x v="1"/>
  </r>
  <r>
    <s v="TX501058"/>
    <x v="18"/>
    <n v="7"/>
    <n v="56.7"/>
    <n v="396.90000000000003"/>
    <x v="41"/>
    <x v="42"/>
    <x v="1"/>
    <x v="0"/>
    <x v="0"/>
    <x v="0"/>
    <x v="2"/>
    <n v="3"/>
    <n v="7"/>
    <x v="1"/>
  </r>
  <r>
    <s v="TX501059"/>
    <x v="9"/>
    <n v="13"/>
    <n v="22.9"/>
    <n v="297.7"/>
    <x v="41"/>
    <x v="44"/>
    <x v="1"/>
    <x v="0"/>
    <x v="1"/>
    <x v="0"/>
    <x v="44"/>
    <n v="1"/>
    <n v="7"/>
    <x v="1"/>
  </r>
  <r>
    <s v="TX501060"/>
    <x v="15"/>
    <n v="19"/>
    <n v="53.6"/>
    <n v="1018.4"/>
    <x v="41"/>
    <x v="44"/>
    <x v="0"/>
    <x v="0"/>
    <x v="0"/>
    <x v="0"/>
    <x v="22"/>
    <n v="1"/>
    <n v="7"/>
    <x v="0"/>
  </r>
  <r>
    <s v="TX501061"/>
    <x v="18"/>
    <n v="2"/>
    <n v="30.2"/>
    <n v="60.4"/>
    <x v="41"/>
    <x v="45"/>
    <x v="2"/>
    <x v="2"/>
    <x v="2"/>
    <x v="0"/>
    <x v="3"/>
    <n v="2"/>
    <n v="7"/>
    <x v="2"/>
  </r>
  <r>
    <s v="TX501062"/>
    <x v="15"/>
    <n v="6"/>
    <n v="83.4"/>
    <n v="500.40000000000003"/>
    <x v="41"/>
    <x v="44"/>
    <x v="0"/>
    <x v="1"/>
    <x v="2"/>
    <x v="0"/>
    <x v="3"/>
    <n v="1"/>
    <n v="7"/>
    <x v="0"/>
  </r>
  <r>
    <s v="TX501063"/>
    <x v="13"/>
    <n v="12"/>
    <n v="16.600000000000001"/>
    <n v="199.20000000000002"/>
    <x v="41"/>
    <x v="45"/>
    <x v="0"/>
    <x v="1"/>
    <x v="0"/>
    <x v="0"/>
    <x v="3"/>
    <n v="2"/>
    <n v="7"/>
    <x v="0"/>
  </r>
  <r>
    <s v="TX501064"/>
    <x v="8"/>
    <n v="17"/>
    <n v="21.9"/>
    <n v="372.29999999999995"/>
    <x v="41"/>
    <x v="45"/>
    <x v="1"/>
    <x v="4"/>
    <x v="1"/>
    <x v="0"/>
    <x v="3"/>
    <n v="2"/>
    <n v="7"/>
    <x v="1"/>
  </r>
  <r>
    <s v="TX501065"/>
    <x v="8"/>
    <n v="28"/>
    <n v="33.799999999999997"/>
    <n v="946.39999999999986"/>
    <x v="41"/>
    <x v="45"/>
    <x v="0"/>
    <x v="2"/>
    <x v="4"/>
    <x v="0"/>
    <x v="3"/>
    <n v="2"/>
    <n v="7"/>
    <x v="0"/>
  </r>
  <r>
    <s v="TX501066"/>
    <x v="18"/>
    <n v="2"/>
    <n v="53.2"/>
    <n v="106.4"/>
    <x v="41"/>
    <x v="40"/>
    <x v="0"/>
    <x v="1"/>
    <x v="0"/>
    <x v="0"/>
    <x v="3"/>
    <n v="0"/>
    <n v="7"/>
    <x v="0"/>
  </r>
  <r>
    <s v="TX501067"/>
    <x v="2"/>
    <n v="2"/>
    <n v="176.7"/>
    <n v="353.4"/>
    <x v="41"/>
    <x v="42"/>
    <x v="1"/>
    <x v="2"/>
    <x v="0"/>
    <x v="0"/>
    <x v="3"/>
    <n v="3"/>
    <n v="7"/>
    <x v="1"/>
  </r>
  <r>
    <s v="TX501068"/>
    <x v="12"/>
    <n v="3"/>
    <n v="54"/>
    <n v="162"/>
    <x v="41"/>
    <x v="42"/>
    <x v="0"/>
    <x v="0"/>
    <x v="1"/>
    <x v="0"/>
    <x v="3"/>
    <n v="3"/>
    <n v="7"/>
    <x v="0"/>
  </r>
  <r>
    <s v="TX501069"/>
    <x v="9"/>
    <n v="2"/>
    <n v="70.099999999999994"/>
    <n v="140.19999999999999"/>
    <x v="41"/>
    <x v="46"/>
    <x v="1"/>
    <x v="3"/>
    <x v="2"/>
    <x v="0"/>
    <x v="3"/>
    <n v="8"/>
    <n v="7"/>
    <x v="1"/>
  </r>
  <r>
    <s v="TX501070"/>
    <x v="8"/>
    <n v="1"/>
    <n v="26.5"/>
    <n v="26.5"/>
    <x v="41"/>
    <x v="45"/>
    <x v="1"/>
    <x v="1"/>
    <x v="0"/>
    <x v="0"/>
    <x v="3"/>
    <n v="2"/>
    <n v="7"/>
    <x v="1"/>
  </r>
  <r>
    <s v="TX501071"/>
    <x v="7"/>
    <n v="5"/>
    <n v="89"/>
    <n v="445"/>
    <x v="41"/>
    <x v="45"/>
    <x v="0"/>
    <x v="2"/>
    <x v="4"/>
    <x v="0"/>
    <x v="3"/>
    <n v="2"/>
    <n v="7"/>
    <x v="0"/>
  </r>
  <r>
    <s v="TX501072"/>
    <x v="1"/>
    <n v="6"/>
    <n v="47"/>
    <n v="282"/>
    <x v="41"/>
    <x v="42"/>
    <x v="1"/>
    <x v="3"/>
    <x v="0"/>
    <x v="0"/>
    <x v="24"/>
    <n v="3"/>
    <n v="7"/>
    <x v="1"/>
  </r>
  <r>
    <s v="TX501073"/>
    <x v="3"/>
    <n v="2"/>
    <n v="55.2"/>
    <n v="110.4"/>
    <x v="41"/>
    <x v="42"/>
    <x v="0"/>
    <x v="1"/>
    <x v="1"/>
    <x v="0"/>
    <x v="6"/>
    <n v="3"/>
    <n v="7"/>
    <x v="0"/>
  </r>
  <r>
    <s v="TX501074"/>
    <x v="8"/>
    <n v="42"/>
    <n v="33.299999999999997"/>
    <n v="1398.6"/>
    <x v="41"/>
    <x v="51"/>
    <x v="0"/>
    <x v="1"/>
    <x v="2"/>
    <x v="0"/>
    <x v="6"/>
    <n v="14"/>
    <n v="7"/>
    <x v="0"/>
  </r>
  <r>
    <s v="TX501075"/>
    <x v="2"/>
    <n v="4"/>
    <n v="110.9"/>
    <n v="443.6"/>
    <x v="42"/>
    <x v="44"/>
    <x v="0"/>
    <x v="2"/>
    <x v="4"/>
    <x v="0"/>
    <x v="6"/>
    <n v="0"/>
    <n v="7"/>
    <x v="0"/>
  </r>
  <r>
    <s v="TX501076"/>
    <x v="2"/>
    <n v="6"/>
    <n v="67.3"/>
    <n v="403.79999999999995"/>
    <x v="42"/>
    <x v="45"/>
    <x v="0"/>
    <x v="0"/>
    <x v="0"/>
    <x v="0"/>
    <x v="8"/>
    <n v="1"/>
    <n v="7"/>
    <x v="0"/>
  </r>
  <r>
    <s v="TX501077"/>
    <x v="6"/>
    <n v="3"/>
    <n v="69.7"/>
    <n v="209.10000000000002"/>
    <x v="42"/>
    <x v="45"/>
    <x v="0"/>
    <x v="2"/>
    <x v="1"/>
    <x v="0"/>
    <x v="8"/>
    <n v="1"/>
    <n v="7"/>
    <x v="0"/>
  </r>
  <r>
    <s v="TX501078"/>
    <x v="5"/>
    <n v="1"/>
    <n v="39.1"/>
    <n v="39.1"/>
    <x v="42"/>
    <x v="43"/>
    <x v="0"/>
    <x v="0"/>
    <x v="1"/>
    <x v="0"/>
    <x v="17"/>
    <n v="5"/>
    <n v="7"/>
    <x v="0"/>
  </r>
  <r>
    <s v="TX501079"/>
    <x v="2"/>
    <n v="3"/>
    <n v="208.6"/>
    <n v="625.79999999999995"/>
    <x v="42"/>
    <x v="44"/>
    <x v="0"/>
    <x v="4"/>
    <x v="2"/>
    <x v="0"/>
    <x v="17"/>
    <n v="0"/>
    <n v="7"/>
    <x v="0"/>
  </r>
  <r>
    <s v="TX501080"/>
    <x v="15"/>
    <n v="3"/>
    <n v="27.8"/>
    <n v="83.4"/>
    <x v="42"/>
    <x v="45"/>
    <x v="0"/>
    <x v="3"/>
    <x v="1"/>
    <x v="0"/>
    <x v="11"/>
    <n v="1"/>
    <n v="7"/>
    <x v="0"/>
  </r>
  <r>
    <s v="TX501081"/>
    <x v="10"/>
    <n v="5"/>
    <n v="29.4"/>
    <n v="147"/>
    <x v="42"/>
    <x v="42"/>
    <x v="1"/>
    <x v="0"/>
    <x v="0"/>
    <x v="0"/>
    <x v="11"/>
    <n v="2"/>
    <n v="7"/>
    <x v="1"/>
  </r>
  <r>
    <s v="TX501082"/>
    <x v="9"/>
    <n v="2"/>
    <n v="29.2"/>
    <n v="58.4"/>
    <x v="42"/>
    <x v="42"/>
    <x v="1"/>
    <x v="1"/>
    <x v="2"/>
    <x v="0"/>
    <x v="20"/>
    <n v="2"/>
    <n v="7"/>
    <x v="1"/>
  </r>
  <r>
    <s v="TX501083"/>
    <x v="10"/>
    <n v="5"/>
    <n v="26.5"/>
    <n v="132.5"/>
    <x v="42"/>
    <x v="42"/>
    <x v="1"/>
    <x v="0"/>
    <x v="0"/>
    <x v="0"/>
    <x v="52"/>
    <n v="2"/>
    <n v="7"/>
    <x v="1"/>
  </r>
  <r>
    <s v="TX501084"/>
    <x v="5"/>
    <n v="1"/>
    <n v="30.3"/>
    <n v="30.3"/>
    <x v="42"/>
    <x v="45"/>
    <x v="1"/>
    <x v="4"/>
    <x v="1"/>
    <x v="0"/>
    <x v="13"/>
    <n v="1"/>
    <n v="7"/>
    <x v="1"/>
  </r>
  <r>
    <s v="TX501085"/>
    <x v="16"/>
    <n v="12"/>
    <n v="39.700000000000003"/>
    <n v="476.40000000000003"/>
    <x v="42"/>
    <x v="45"/>
    <x v="1"/>
    <x v="0"/>
    <x v="0"/>
    <x v="0"/>
    <x v="21"/>
    <n v="1"/>
    <n v="7"/>
    <x v="1"/>
  </r>
  <r>
    <s v="TX501086"/>
    <x v="7"/>
    <n v="10"/>
    <n v="58.9"/>
    <n v="589"/>
    <x v="42"/>
    <x v="42"/>
    <x v="1"/>
    <x v="1"/>
    <x v="4"/>
    <x v="0"/>
    <x v="21"/>
    <n v="2"/>
    <n v="7"/>
    <x v="1"/>
  </r>
  <r>
    <s v="TX501087"/>
    <x v="2"/>
    <n v="2"/>
    <n v="174.1"/>
    <n v="348.2"/>
    <x v="42"/>
    <x v="42"/>
    <x v="1"/>
    <x v="0"/>
    <x v="1"/>
    <x v="0"/>
    <x v="46"/>
    <n v="2"/>
    <n v="7"/>
    <x v="1"/>
  </r>
  <r>
    <s v="TX501088"/>
    <x v="6"/>
    <n v="2"/>
    <n v="70.8"/>
    <n v="141.6"/>
    <x v="42"/>
    <x v="48"/>
    <x v="0"/>
    <x v="2"/>
    <x v="0"/>
    <x v="0"/>
    <x v="22"/>
    <n v="3"/>
    <n v="7"/>
    <x v="0"/>
  </r>
  <r>
    <s v="TX501089"/>
    <x v="7"/>
    <n v="2"/>
    <n v="57.4"/>
    <n v="114.8"/>
    <x v="42"/>
    <x v="42"/>
    <x v="1"/>
    <x v="1"/>
    <x v="1"/>
    <x v="0"/>
    <x v="34"/>
    <n v="2"/>
    <n v="7"/>
    <x v="1"/>
  </r>
  <r>
    <s v="TX501090"/>
    <x v="0"/>
    <n v="2"/>
    <n v="28.5"/>
    <n v="57"/>
    <x v="42"/>
    <x v="42"/>
    <x v="0"/>
    <x v="3"/>
    <x v="1"/>
    <x v="0"/>
    <x v="3"/>
    <n v="2"/>
    <n v="7"/>
    <x v="0"/>
  </r>
  <r>
    <s v="TX501091"/>
    <x v="2"/>
    <n v="20"/>
    <n v="106.6"/>
    <n v="2132"/>
    <x v="42"/>
    <x v="45"/>
    <x v="2"/>
    <x v="1"/>
    <x v="4"/>
    <x v="0"/>
    <x v="3"/>
    <n v="1"/>
    <n v="7"/>
    <x v="2"/>
  </r>
  <r>
    <s v="TX501092"/>
    <x v="2"/>
    <n v="3"/>
    <n v="119.7"/>
    <n v="359.1"/>
    <x v="42"/>
    <x v="45"/>
    <x v="1"/>
    <x v="1"/>
    <x v="4"/>
    <x v="0"/>
    <x v="3"/>
    <n v="1"/>
    <n v="7"/>
    <x v="1"/>
  </r>
  <r>
    <s v="TX501093"/>
    <x v="18"/>
    <n v="1"/>
    <n v="73.3"/>
    <n v="73.3"/>
    <x v="42"/>
    <x v="43"/>
    <x v="1"/>
    <x v="0"/>
    <x v="2"/>
    <x v="0"/>
    <x v="3"/>
    <n v="5"/>
    <n v="7"/>
    <x v="1"/>
  </r>
  <r>
    <s v="TX501094"/>
    <x v="0"/>
    <n v="2"/>
    <n v="25.8"/>
    <n v="51.6"/>
    <x v="42"/>
    <x v="52"/>
    <x v="0"/>
    <x v="2"/>
    <x v="0"/>
    <x v="0"/>
    <x v="3"/>
    <n v="14"/>
    <n v="7"/>
    <x v="0"/>
  </r>
  <r>
    <s v="TX501095"/>
    <x v="17"/>
    <n v="3"/>
    <n v="49.1"/>
    <n v="147.30000000000001"/>
    <x v="42"/>
    <x v="42"/>
    <x v="1"/>
    <x v="0"/>
    <x v="0"/>
    <x v="0"/>
    <x v="24"/>
    <n v="2"/>
    <n v="7"/>
    <x v="1"/>
  </r>
  <r>
    <s v="TX501096"/>
    <x v="1"/>
    <n v="1"/>
    <n v="44.9"/>
    <n v="44.9"/>
    <x v="42"/>
    <x v="48"/>
    <x v="1"/>
    <x v="3"/>
    <x v="2"/>
    <x v="0"/>
    <x v="6"/>
    <n v="3"/>
    <n v="7"/>
    <x v="1"/>
  </r>
  <r>
    <s v="TX501097"/>
    <x v="15"/>
    <n v="7"/>
    <n v="29.9"/>
    <n v="209.29999999999998"/>
    <x v="42"/>
    <x v="45"/>
    <x v="1"/>
    <x v="0"/>
    <x v="0"/>
    <x v="0"/>
    <x v="6"/>
    <n v="1"/>
    <n v="7"/>
    <x v="1"/>
  </r>
  <r>
    <s v="TX501098"/>
    <x v="7"/>
    <n v="2"/>
    <n v="54.3"/>
    <n v="108.6"/>
    <x v="43"/>
    <x v="42"/>
    <x v="0"/>
    <x v="3"/>
    <x v="0"/>
    <x v="0"/>
    <x v="36"/>
    <n v="1"/>
    <n v="7"/>
    <x v="0"/>
  </r>
  <r>
    <s v="TX501099"/>
    <x v="9"/>
    <n v="4"/>
    <n v="57"/>
    <n v="228"/>
    <x v="43"/>
    <x v="48"/>
    <x v="1"/>
    <x v="0"/>
    <x v="0"/>
    <x v="0"/>
    <x v="8"/>
    <n v="2"/>
    <n v="7"/>
    <x v="1"/>
  </r>
  <r>
    <s v="TX501100"/>
    <x v="2"/>
    <n v="1"/>
    <n v="139.19999999999999"/>
    <n v="139.19999999999999"/>
    <x v="43"/>
    <x v="42"/>
    <x v="1"/>
    <x v="3"/>
    <x v="2"/>
    <x v="0"/>
    <x v="8"/>
    <n v="1"/>
    <n v="7"/>
    <x v="1"/>
  </r>
  <r>
    <s v="TX501101"/>
    <x v="10"/>
    <n v="1"/>
    <n v="33"/>
    <n v="33"/>
    <x v="43"/>
    <x v="41"/>
    <x v="1"/>
    <x v="0"/>
    <x v="2"/>
    <x v="0"/>
    <x v="8"/>
    <n v="3"/>
    <n v="7"/>
    <x v="1"/>
  </r>
  <r>
    <s v="TX501102"/>
    <x v="11"/>
    <n v="6"/>
    <n v="80.2"/>
    <n v="481.20000000000005"/>
    <x v="43"/>
    <x v="48"/>
    <x v="0"/>
    <x v="1"/>
    <x v="4"/>
    <x v="0"/>
    <x v="8"/>
    <n v="2"/>
    <n v="7"/>
    <x v="0"/>
  </r>
  <r>
    <s v="TX501103"/>
    <x v="18"/>
    <n v="8"/>
    <n v="49"/>
    <n v="392"/>
    <x v="43"/>
    <x v="42"/>
    <x v="2"/>
    <x v="2"/>
    <x v="1"/>
    <x v="0"/>
    <x v="9"/>
    <n v="1"/>
    <n v="7"/>
    <x v="2"/>
  </r>
  <r>
    <s v="TX501104"/>
    <x v="1"/>
    <n v="4"/>
    <n v="104.4"/>
    <n v="417.6"/>
    <x v="43"/>
    <x v="45"/>
    <x v="1"/>
    <x v="0"/>
    <x v="0"/>
    <x v="0"/>
    <x v="9"/>
    <n v="0"/>
    <n v="7"/>
    <x v="1"/>
  </r>
  <r>
    <s v="TX501105"/>
    <x v="3"/>
    <n v="1"/>
    <n v="41.6"/>
    <n v="41.6"/>
    <x v="43"/>
    <x v="41"/>
    <x v="0"/>
    <x v="3"/>
    <x v="0"/>
    <x v="0"/>
    <x v="11"/>
    <n v="3"/>
    <n v="7"/>
    <x v="0"/>
  </r>
  <r>
    <s v="TX501106"/>
    <x v="19"/>
    <n v="2"/>
    <n v="16.399999999999999"/>
    <n v="32.799999999999997"/>
    <x v="43"/>
    <x v="42"/>
    <x v="3"/>
    <x v="0"/>
    <x v="2"/>
    <x v="0"/>
    <x v="11"/>
    <n v="1"/>
    <n v="7"/>
    <x v="3"/>
  </r>
  <r>
    <s v="TX501107"/>
    <x v="8"/>
    <n v="2"/>
    <n v="22"/>
    <n v="44"/>
    <x v="43"/>
    <x v="42"/>
    <x v="0"/>
    <x v="2"/>
    <x v="2"/>
    <x v="0"/>
    <x v="53"/>
    <n v="1"/>
    <n v="7"/>
    <x v="0"/>
  </r>
  <r>
    <s v="TX501108"/>
    <x v="15"/>
    <n v="2"/>
    <n v="33.6"/>
    <n v="67.2"/>
    <x v="43"/>
    <x v="50"/>
    <x v="1"/>
    <x v="0"/>
    <x v="0"/>
    <x v="0"/>
    <x v="21"/>
    <n v="5"/>
    <n v="7"/>
    <x v="1"/>
  </r>
  <r>
    <s v="TX501109"/>
    <x v="11"/>
    <n v="6"/>
    <n v="43"/>
    <n v="258"/>
    <x v="43"/>
    <x v="42"/>
    <x v="1"/>
    <x v="2"/>
    <x v="0"/>
    <x v="0"/>
    <x v="21"/>
    <n v="1"/>
    <n v="7"/>
    <x v="1"/>
  </r>
  <r>
    <s v="TX501110"/>
    <x v="6"/>
    <n v="5"/>
    <n v="108.8"/>
    <n v="544"/>
    <x v="43"/>
    <x v="41"/>
    <x v="1"/>
    <x v="4"/>
    <x v="2"/>
    <x v="0"/>
    <x v="21"/>
    <n v="3"/>
    <n v="7"/>
    <x v="1"/>
  </r>
  <r>
    <s v="TX501111"/>
    <x v="0"/>
    <n v="9"/>
    <n v="29.3"/>
    <n v="263.7"/>
    <x v="43"/>
    <x v="48"/>
    <x v="0"/>
    <x v="4"/>
    <x v="2"/>
    <x v="0"/>
    <x v="21"/>
    <n v="2"/>
    <n v="7"/>
    <x v="0"/>
  </r>
  <r>
    <s v="TX501112"/>
    <x v="2"/>
    <n v="1"/>
    <n v="122.7"/>
    <n v="122.7"/>
    <x v="43"/>
    <x v="41"/>
    <x v="3"/>
    <x v="0"/>
    <x v="2"/>
    <x v="0"/>
    <x v="1"/>
    <n v="3"/>
    <n v="7"/>
    <x v="3"/>
  </r>
  <r>
    <s v="TX501113"/>
    <x v="4"/>
    <n v="7"/>
    <n v="22.9"/>
    <n v="160.29999999999998"/>
    <x v="43"/>
    <x v="42"/>
    <x v="1"/>
    <x v="0"/>
    <x v="0"/>
    <x v="0"/>
    <x v="42"/>
    <n v="1"/>
    <n v="7"/>
    <x v="1"/>
  </r>
  <r>
    <s v="TX501114"/>
    <x v="8"/>
    <n v="10"/>
    <n v="25.5"/>
    <n v="255"/>
    <x v="43"/>
    <x v="49"/>
    <x v="1"/>
    <x v="0"/>
    <x v="0"/>
    <x v="0"/>
    <x v="33"/>
    <n v="7"/>
    <n v="7"/>
    <x v="1"/>
  </r>
  <r>
    <s v="TX501115"/>
    <x v="17"/>
    <n v="3"/>
    <n v="23.4"/>
    <n v="70.199999999999989"/>
    <x v="43"/>
    <x v="43"/>
    <x v="1"/>
    <x v="0"/>
    <x v="2"/>
    <x v="0"/>
    <x v="3"/>
    <n v="4"/>
    <n v="7"/>
    <x v="1"/>
  </r>
  <r>
    <s v="TX501116"/>
    <x v="5"/>
    <n v="8"/>
    <n v="27.4"/>
    <n v="219.2"/>
    <x v="43"/>
    <x v="41"/>
    <x v="1"/>
    <x v="2"/>
    <x v="0"/>
    <x v="0"/>
    <x v="3"/>
    <n v="3"/>
    <n v="7"/>
    <x v="1"/>
  </r>
  <r>
    <s v="TX501117"/>
    <x v="5"/>
    <n v="5"/>
    <n v="68.400000000000006"/>
    <n v="342"/>
    <x v="43"/>
    <x v="42"/>
    <x v="1"/>
    <x v="0"/>
    <x v="0"/>
    <x v="0"/>
    <x v="3"/>
    <n v="1"/>
    <n v="7"/>
    <x v="1"/>
  </r>
  <r>
    <s v="TX501118"/>
    <x v="6"/>
    <n v="1"/>
    <n v="51.9"/>
    <n v="51.9"/>
    <x v="43"/>
    <x v="45"/>
    <x v="1"/>
    <x v="0"/>
    <x v="0"/>
    <x v="0"/>
    <x v="3"/>
    <n v="0"/>
    <n v="7"/>
    <x v="1"/>
  </r>
  <r>
    <s v="TX501119"/>
    <x v="0"/>
    <n v="5"/>
    <n v="26.4"/>
    <n v="132"/>
    <x v="43"/>
    <x v="41"/>
    <x v="1"/>
    <x v="0"/>
    <x v="2"/>
    <x v="0"/>
    <x v="3"/>
    <n v="3"/>
    <n v="7"/>
    <x v="1"/>
  </r>
  <r>
    <s v="TX501120"/>
    <x v="12"/>
    <n v="2"/>
    <n v="117"/>
    <n v="234"/>
    <x v="43"/>
    <x v="42"/>
    <x v="1"/>
    <x v="1"/>
    <x v="1"/>
    <x v="0"/>
    <x v="3"/>
    <n v="1"/>
    <n v="7"/>
    <x v="1"/>
  </r>
  <r>
    <s v="TX501121"/>
    <x v="7"/>
    <n v="3"/>
    <n v="49.6"/>
    <n v="148.80000000000001"/>
    <x v="44"/>
    <x v="41"/>
    <x v="1"/>
    <x v="0"/>
    <x v="0"/>
    <x v="0"/>
    <x v="3"/>
    <n v="2"/>
    <n v="7"/>
    <x v="1"/>
  </r>
  <r>
    <s v="TX501122"/>
    <x v="4"/>
    <n v="3"/>
    <n v="38"/>
    <n v="114"/>
    <x v="44"/>
    <x v="43"/>
    <x v="0"/>
    <x v="2"/>
    <x v="4"/>
    <x v="0"/>
    <x v="3"/>
    <n v="3"/>
    <n v="7"/>
    <x v="0"/>
  </r>
  <r>
    <s v="TX501123"/>
    <x v="0"/>
    <n v="3"/>
    <n v="20.6"/>
    <n v="61.800000000000004"/>
    <x v="44"/>
    <x v="41"/>
    <x v="1"/>
    <x v="4"/>
    <x v="2"/>
    <x v="0"/>
    <x v="3"/>
    <n v="2"/>
    <n v="7"/>
    <x v="1"/>
  </r>
  <r>
    <s v="TX501124"/>
    <x v="0"/>
    <n v="2"/>
    <n v="16"/>
    <n v="32"/>
    <x v="44"/>
    <x v="48"/>
    <x v="0"/>
    <x v="1"/>
    <x v="1"/>
    <x v="0"/>
    <x v="49"/>
    <n v="1"/>
    <n v="7"/>
    <x v="0"/>
  </r>
  <r>
    <s v="TX501125"/>
    <x v="15"/>
    <n v="4"/>
    <n v="49.3"/>
    <n v="197.2"/>
    <x v="44"/>
    <x v="48"/>
    <x v="1"/>
    <x v="2"/>
    <x v="0"/>
    <x v="0"/>
    <x v="23"/>
    <n v="1"/>
    <n v="7"/>
    <x v="1"/>
  </r>
  <r>
    <s v="TX501126"/>
    <x v="9"/>
    <n v="2"/>
    <n v="24.1"/>
    <n v="48.2"/>
    <x v="44"/>
    <x v="50"/>
    <x v="1"/>
    <x v="0"/>
    <x v="0"/>
    <x v="0"/>
    <x v="6"/>
    <n v="4"/>
    <n v="7"/>
    <x v="1"/>
  </r>
  <r>
    <s v="TX501127"/>
    <x v="15"/>
    <n v="8"/>
    <n v="32.700000000000003"/>
    <n v="261.60000000000002"/>
    <x v="44"/>
    <x v="48"/>
    <x v="1"/>
    <x v="1"/>
    <x v="0"/>
    <x v="0"/>
    <x v="6"/>
    <n v="1"/>
    <n v="7"/>
    <x v="1"/>
  </r>
  <r>
    <s v="TX501128"/>
    <x v="6"/>
    <n v="3"/>
    <n v="74.400000000000006"/>
    <n v="223.20000000000002"/>
    <x v="44"/>
    <x v="48"/>
    <x v="1"/>
    <x v="3"/>
    <x v="2"/>
    <x v="0"/>
    <x v="8"/>
    <n v="1"/>
    <n v="7"/>
    <x v="1"/>
  </r>
  <r>
    <s v="TX501129"/>
    <x v="12"/>
    <n v="1"/>
    <n v="45.6"/>
    <n v="45.6"/>
    <x v="44"/>
    <x v="50"/>
    <x v="1"/>
    <x v="4"/>
    <x v="0"/>
    <x v="0"/>
    <x v="8"/>
    <n v="4"/>
    <n v="7"/>
    <x v="1"/>
  </r>
  <r>
    <s v="TX501130"/>
    <x v="8"/>
    <n v="8"/>
    <n v="19.600000000000001"/>
    <n v="156.80000000000001"/>
    <x v="44"/>
    <x v="53"/>
    <x v="1"/>
    <x v="0"/>
    <x v="0"/>
    <x v="0"/>
    <x v="8"/>
    <n v="13"/>
    <n v="7"/>
    <x v="1"/>
  </r>
  <r>
    <s v="TX501131"/>
    <x v="9"/>
    <n v="1"/>
    <n v="51.8"/>
    <n v="51.8"/>
    <x v="44"/>
    <x v="48"/>
    <x v="1"/>
    <x v="1"/>
    <x v="0"/>
    <x v="0"/>
    <x v="8"/>
    <n v="1"/>
    <n v="7"/>
    <x v="1"/>
  </r>
  <r>
    <s v="TX501132"/>
    <x v="6"/>
    <n v="1"/>
    <n v="74.7"/>
    <n v="74.7"/>
    <x v="44"/>
    <x v="48"/>
    <x v="0"/>
    <x v="0"/>
    <x v="1"/>
    <x v="0"/>
    <x v="8"/>
    <n v="1"/>
    <n v="7"/>
    <x v="0"/>
  </r>
  <r>
    <s v="TX501133"/>
    <x v="19"/>
    <n v="3"/>
    <n v="22.4"/>
    <n v="67.199999999999989"/>
    <x v="44"/>
    <x v="48"/>
    <x v="1"/>
    <x v="1"/>
    <x v="2"/>
    <x v="0"/>
    <x v="9"/>
    <n v="1"/>
    <n v="7"/>
    <x v="1"/>
  </r>
  <r>
    <s v="TX501134"/>
    <x v="1"/>
    <n v="4"/>
    <n v="31.4"/>
    <n v="125.6"/>
    <x v="44"/>
    <x v="48"/>
    <x v="1"/>
    <x v="1"/>
    <x v="0"/>
    <x v="0"/>
    <x v="9"/>
    <n v="1"/>
    <n v="7"/>
    <x v="1"/>
  </r>
  <r>
    <s v="TX501135"/>
    <x v="6"/>
    <n v="1"/>
    <n v="94"/>
    <n v="94"/>
    <x v="44"/>
    <x v="42"/>
    <x v="1"/>
    <x v="1"/>
    <x v="2"/>
    <x v="0"/>
    <x v="10"/>
    <n v="0"/>
    <n v="7"/>
    <x v="1"/>
  </r>
  <r>
    <s v="TX501136"/>
    <x v="10"/>
    <n v="1"/>
    <n v="22.3"/>
    <n v="22.3"/>
    <x v="44"/>
    <x v="48"/>
    <x v="0"/>
    <x v="4"/>
    <x v="0"/>
    <x v="0"/>
    <x v="20"/>
    <n v="1"/>
    <n v="7"/>
    <x v="0"/>
  </r>
  <r>
    <s v="TX501137"/>
    <x v="0"/>
    <n v="1"/>
    <n v="21.9"/>
    <n v="21.9"/>
    <x v="44"/>
    <x v="43"/>
    <x v="1"/>
    <x v="2"/>
    <x v="0"/>
    <x v="0"/>
    <x v="21"/>
    <n v="3"/>
    <n v="7"/>
    <x v="1"/>
  </r>
  <r>
    <s v="TX501138"/>
    <x v="17"/>
    <n v="3"/>
    <n v="27"/>
    <n v="81"/>
    <x v="44"/>
    <x v="41"/>
    <x v="1"/>
    <x v="4"/>
    <x v="2"/>
    <x v="0"/>
    <x v="2"/>
    <n v="2"/>
    <n v="7"/>
    <x v="1"/>
  </r>
  <r>
    <s v="TX501139"/>
    <x v="2"/>
    <n v="4"/>
    <n v="149.6"/>
    <n v="598.4"/>
    <x v="44"/>
    <x v="42"/>
    <x v="1"/>
    <x v="4"/>
    <x v="0"/>
    <x v="0"/>
    <x v="22"/>
    <n v="0"/>
    <n v="7"/>
    <x v="1"/>
  </r>
  <r>
    <s v="TX501140"/>
    <x v="2"/>
    <n v="4"/>
    <n v="129.1"/>
    <n v="516.4"/>
    <x v="44"/>
    <x v="54"/>
    <x v="0"/>
    <x v="0"/>
    <x v="1"/>
    <x v="0"/>
    <x v="3"/>
    <n v="10"/>
    <n v="7"/>
    <x v="0"/>
  </r>
  <r>
    <s v="TX501141"/>
    <x v="1"/>
    <n v="12"/>
    <n v="40.4"/>
    <n v="484.79999999999995"/>
    <x v="44"/>
    <x v="48"/>
    <x v="0"/>
    <x v="1"/>
    <x v="1"/>
    <x v="0"/>
    <x v="3"/>
    <n v="1"/>
    <n v="7"/>
    <x v="0"/>
  </r>
  <r>
    <s v="TX501142"/>
    <x v="4"/>
    <n v="3"/>
    <n v="48.5"/>
    <n v="145.5"/>
    <x v="44"/>
    <x v="41"/>
    <x v="1"/>
    <x v="0"/>
    <x v="4"/>
    <x v="0"/>
    <x v="3"/>
    <n v="2"/>
    <n v="7"/>
    <x v="1"/>
  </r>
  <r>
    <s v="TX501143"/>
    <x v="9"/>
    <n v="2"/>
    <n v="37.6"/>
    <n v="75.2"/>
    <x v="44"/>
    <x v="41"/>
    <x v="1"/>
    <x v="1"/>
    <x v="2"/>
    <x v="0"/>
    <x v="3"/>
    <n v="2"/>
    <n v="7"/>
    <x v="1"/>
  </r>
  <r>
    <s v="TX501144"/>
    <x v="8"/>
    <n v="2"/>
    <n v="19.600000000000001"/>
    <n v="39.200000000000003"/>
    <x v="44"/>
    <x v="48"/>
    <x v="0"/>
    <x v="3"/>
    <x v="4"/>
    <x v="0"/>
    <x v="43"/>
    <n v="1"/>
    <n v="7"/>
    <x v="0"/>
  </r>
  <r>
    <s v="TX501145"/>
    <x v="8"/>
    <n v="5"/>
    <n v="18.5"/>
    <n v="92.5"/>
    <x v="44"/>
    <x v="48"/>
    <x v="1"/>
    <x v="2"/>
    <x v="1"/>
    <x v="0"/>
    <x v="6"/>
    <n v="1"/>
    <n v="7"/>
    <x v="1"/>
  </r>
  <r>
    <s v="TX501146"/>
    <x v="5"/>
    <n v="3"/>
    <n v="25.5"/>
    <n v="76.5"/>
    <x v="44"/>
    <x v="41"/>
    <x v="1"/>
    <x v="4"/>
    <x v="1"/>
    <x v="0"/>
    <x v="6"/>
    <n v="2"/>
    <n v="7"/>
    <x v="1"/>
  </r>
  <r>
    <s v="TX501147"/>
    <x v="2"/>
    <n v="2"/>
    <n v="94.7"/>
    <n v="189.4"/>
    <x v="44"/>
    <x v="48"/>
    <x v="1"/>
    <x v="2"/>
    <x v="0"/>
    <x v="0"/>
    <x v="36"/>
    <n v="1"/>
    <n v="7"/>
    <x v="1"/>
  </r>
  <r>
    <s v="TX501148"/>
    <x v="1"/>
    <n v="6"/>
    <n v="38.799999999999997"/>
    <n v="232.79999999999998"/>
    <x v="44"/>
    <x v="46"/>
    <x v="1"/>
    <x v="2"/>
    <x v="2"/>
    <x v="0"/>
    <x v="8"/>
    <n v="5"/>
    <n v="7"/>
    <x v="1"/>
  </r>
  <r>
    <s v="TX501149"/>
    <x v="9"/>
    <n v="2"/>
    <n v="49.4"/>
    <n v="98.8"/>
    <x v="45"/>
    <x v="55"/>
    <x v="0"/>
    <x v="4"/>
    <x v="1"/>
    <x v="0"/>
    <x v="8"/>
    <n v="8"/>
    <n v="7"/>
    <x v="0"/>
  </r>
  <r>
    <s v="TX501150"/>
    <x v="7"/>
    <n v="3"/>
    <n v="68"/>
    <n v="204"/>
    <x v="45"/>
    <x v="50"/>
    <x v="0"/>
    <x v="0"/>
    <x v="2"/>
    <x v="0"/>
    <x v="8"/>
    <n v="3"/>
    <n v="7"/>
    <x v="0"/>
  </r>
  <r>
    <s v="TX501151"/>
    <x v="15"/>
    <n v="7"/>
    <n v="63.7"/>
    <n v="445.90000000000003"/>
    <x v="45"/>
    <x v="41"/>
    <x v="1"/>
    <x v="2"/>
    <x v="2"/>
    <x v="0"/>
    <x v="8"/>
    <n v="1"/>
    <n v="7"/>
    <x v="1"/>
  </r>
  <r>
    <s v="TX501152"/>
    <x v="10"/>
    <n v="2"/>
    <n v="66.2"/>
    <n v="132.4"/>
    <x v="45"/>
    <x v="41"/>
    <x v="1"/>
    <x v="4"/>
    <x v="2"/>
    <x v="0"/>
    <x v="17"/>
    <n v="1"/>
    <n v="7"/>
    <x v="1"/>
  </r>
  <r>
    <s v="TX501153"/>
    <x v="12"/>
    <n v="3"/>
    <n v="32.299999999999997"/>
    <n v="96.899999999999991"/>
    <x v="45"/>
    <x v="41"/>
    <x v="3"/>
    <x v="2"/>
    <x v="1"/>
    <x v="0"/>
    <x v="9"/>
    <n v="1"/>
    <n v="7"/>
    <x v="3"/>
  </r>
  <r>
    <s v="TX501154"/>
    <x v="4"/>
    <n v="2"/>
    <n v="66.900000000000006"/>
    <n v="133.80000000000001"/>
    <x v="45"/>
    <x v="50"/>
    <x v="0"/>
    <x v="1"/>
    <x v="0"/>
    <x v="0"/>
    <x v="11"/>
    <n v="3"/>
    <n v="7"/>
    <x v="0"/>
  </r>
  <r>
    <s v="TX501155"/>
    <x v="4"/>
    <n v="12"/>
    <n v="25.2"/>
    <n v="302.39999999999998"/>
    <x v="45"/>
    <x v="46"/>
    <x v="1"/>
    <x v="0"/>
    <x v="1"/>
    <x v="0"/>
    <x v="11"/>
    <n v="4"/>
    <n v="7"/>
    <x v="1"/>
  </r>
  <r>
    <s v="TX501156"/>
    <x v="10"/>
    <n v="6"/>
    <n v="29.5"/>
    <n v="177"/>
    <x v="45"/>
    <x v="41"/>
    <x v="0"/>
    <x v="2"/>
    <x v="0"/>
    <x v="0"/>
    <x v="11"/>
    <n v="1"/>
    <n v="7"/>
    <x v="0"/>
  </r>
  <r>
    <s v="TX501157"/>
    <x v="8"/>
    <n v="5"/>
    <n v="21.6"/>
    <n v="108"/>
    <x v="45"/>
    <x v="43"/>
    <x v="1"/>
    <x v="0"/>
    <x v="2"/>
    <x v="0"/>
    <x v="32"/>
    <n v="2"/>
    <n v="7"/>
    <x v="1"/>
  </r>
  <r>
    <s v="TX501158"/>
    <x v="12"/>
    <n v="3"/>
    <n v="69"/>
    <n v="207"/>
    <x v="45"/>
    <x v="41"/>
    <x v="1"/>
    <x v="0"/>
    <x v="0"/>
    <x v="0"/>
    <x v="18"/>
    <n v="1"/>
    <n v="7"/>
    <x v="1"/>
  </r>
  <r>
    <s v="TX501159"/>
    <x v="7"/>
    <n v="2"/>
    <n v="115"/>
    <n v="230"/>
    <x v="45"/>
    <x v="46"/>
    <x v="0"/>
    <x v="0"/>
    <x v="2"/>
    <x v="0"/>
    <x v="18"/>
    <n v="4"/>
    <n v="7"/>
    <x v="0"/>
  </r>
  <r>
    <s v="TX501160"/>
    <x v="2"/>
    <n v="2"/>
    <n v="109.3"/>
    <n v="218.6"/>
    <x v="45"/>
    <x v="43"/>
    <x v="2"/>
    <x v="3"/>
    <x v="1"/>
    <x v="0"/>
    <x v="19"/>
    <n v="2"/>
    <n v="7"/>
    <x v="2"/>
  </r>
  <r>
    <s v="TX501161"/>
    <x v="9"/>
    <n v="2"/>
    <n v="66.599999999999994"/>
    <n v="133.19999999999999"/>
    <x v="45"/>
    <x v="50"/>
    <x v="2"/>
    <x v="4"/>
    <x v="1"/>
    <x v="0"/>
    <x v="19"/>
    <n v="3"/>
    <n v="7"/>
    <x v="2"/>
  </r>
  <r>
    <s v="TX501162"/>
    <x v="12"/>
    <n v="5"/>
    <n v="47.7"/>
    <n v="238.5"/>
    <x v="45"/>
    <x v="41"/>
    <x v="0"/>
    <x v="3"/>
    <x v="2"/>
    <x v="0"/>
    <x v="21"/>
    <n v="1"/>
    <n v="7"/>
    <x v="0"/>
  </r>
  <r>
    <s v="TX501163"/>
    <x v="8"/>
    <n v="2"/>
    <n v="46"/>
    <n v="92"/>
    <x v="45"/>
    <x v="41"/>
    <x v="1"/>
    <x v="4"/>
    <x v="4"/>
    <x v="0"/>
    <x v="22"/>
    <n v="1"/>
    <n v="7"/>
    <x v="1"/>
  </r>
  <r>
    <s v="TX501164"/>
    <x v="1"/>
    <n v="6"/>
    <n v="39.299999999999997"/>
    <n v="235.79999999999998"/>
    <x v="45"/>
    <x v="43"/>
    <x v="0"/>
    <x v="3"/>
    <x v="2"/>
    <x v="0"/>
    <x v="3"/>
    <n v="2"/>
    <n v="7"/>
    <x v="0"/>
  </r>
  <r>
    <s v="TX501165"/>
    <x v="9"/>
    <n v="1"/>
    <n v="70.2"/>
    <n v="70.2"/>
    <x v="45"/>
    <x v="41"/>
    <x v="1"/>
    <x v="0"/>
    <x v="4"/>
    <x v="0"/>
    <x v="3"/>
    <n v="1"/>
    <n v="7"/>
    <x v="1"/>
  </r>
  <r>
    <s v="TX501166"/>
    <x v="3"/>
    <n v="4"/>
    <n v="71.5"/>
    <n v="286"/>
    <x v="45"/>
    <x v="48"/>
    <x v="1"/>
    <x v="1"/>
    <x v="2"/>
    <x v="0"/>
    <x v="3"/>
    <n v="0"/>
    <n v="7"/>
    <x v="1"/>
  </r>
  <r>
    <s v="TX501167"/>
    <x v="10"/>
    <n v="7"/>
    <n v="31"/>
    <n v="217"/>
    <x v="45"/>
    <x v="56"/>
    <x v="1"/>
    <x v="3"/>
    <x v="2"/>
    <x v="0"/>
    <x v="3"/>
    <n v="7"/>
    <n v="7"/>
    <x v="1"/>
  </r>
  <r>
    <s v="TX501168"/>
    <x v="2"/>
    <n v="5"/>
    <n v="68.2"/>
    <n v="341"/>
    <x v="45"/>
    <x v="49"/>
    <x v="1"/>
    <x v="0"/>
    <x v="2"/>
    <x v="0"/>
    <x v="3"/>
    <n v="5"/>
    <n v="7"/>
    <x v="1"/>
  </r>
  <r>
    <s v="TX501169"/>
    <x v="2"/>
    <n v="1"/>
    <n v="91.4"/>
    <n v="91.4"/>
    <x v="45"/>
    <x v="46"/>
    <x v="1"/>
    <x v="1"/>
    <x v="2"/>
    <x v="0"/>
    <x v="6"/>
    <n v="4"/>
    <n v="7"/>
    <x v="1"/>
  </r>
  <r>
    <s v="TX501170"/>
    <x v="6"/>
    <n v="10"/>
    <n v="112.9"/>
    <n v="1129"/>
    <x v="45"/>
    <x v="41"/>
    <x v="1"/>
    <x v="0"/>
    <x v="0"/>
    <x v="0"/>
    <x v="6"/>
    <n v="1"/>
    <n v="7"/>
    <x v="1"/>
  </r>
  <r>
    <s v="TX501171"/>
    <x v="17"/>
    <n v="9"/>
    <n v="33.700000000000003"/>
    <n v="303.3"/>
    <x v="45"/>
    <x v="41"/>
    <x v="1"/>
    <x v="1"/>
    <x v="2"/>
    <x v="0"/>
    <x v="8"/>
    <n v="1"/>
    <n v="7"/>
    <x v="1"/>
  </r>
  <r>
    <s v="TX501172"/>
    <x v="15"/>
    <n v="10"/>
    <n v="35.299999999999997"/>
    <n v="353"/>
    <x v="45"/>
    <x v="43"/>
    <x v="0"/>
    <x v="2"/>
    <x v="0"/>
    <x v="0"/>
    <x v="8"/>
    <n v="2"/>
    <n v="7"/>
    <x v="0"/>
  </r>
  <r>
    <s v="TX501173"/>
    <x v="18"/>
    <n v="3"/>
    <n v="45.6"/>
    <n v="136.80000000000001"/>
    <x v="45"/>
    <x v="46"/>
    <x v="0"/>
    <x v="3"/>
    <x v="0"/>
    <x v="0"/>
    <x v="8"/>
    <n v="4"/>
    <n v="7"/>
    <x v="0"/>
  </r>
  <r>
    <s v="TX501174"/>
    <x v="7"/>
    <n v="7"/>
    <n v="47.1"/>
    <n v="329.7"/>
    <x v="45"/>
    <x v="41"/>
    <x v="1"/>
    <x v="4"/>
    <x v="2"/>
    <x v="0"/>
    <x v="9"/>
    <n v="1"/>
    <n v="7"/>
    <x v="1"/>
  </r>
  <r>
    <s v="TX501175"/>
    <x v="8"/>
    <n v="5"/>
    <n v="16.2"/>
    <n v="81"/>
    <x v="45"/>
    <x v="43"/>
    <x v="1"/>
    <x v="3"/>
    <x v="2"/>
    <x v="0"/>
    <x v="19"/>
    <n v="2"/>
    <n v="7"/>
    <x v="1"/>
  </r>
  <r>
    <s v="TX501176"/>
    <x v="1"/>
    <n v="2"/>
    <n v="159.69999999999999"/>
    <n v="319.39999999999998"/>
    <x v="46"/>
    <x v="43"/>
    <x v="0"/>
    <x v="4"/>
    <x v="0"/>
    <x v="0"/>
    <x v="13"/>
    <n v="1"/>
    <n v="8"/>
    <x v="0"/>
  </r>
  <r>
    <s v="TX501177"/>
    <x v="8"/>
    <n v="4"/>
    <n v="19"/>
    <n v="76"/>
    <x v="46"/>
    <x v="55"/>
    <x v="1"/>
    <x v="2"/>
    <x v="2"/>
    <x v="0"/>
    <x v="21"/>
    <n v="7"/>
    <n v="8"/>
    <x v="1"/>
  </r>
  <r>
    <s v="TX501178"/>
    <x v="6"/>
    <n v="6"/>
    <n v="91.1"/>
    <n v="546.59999999999991"/>
    <x v="46"/>
    <x v="51"/>
    <x v="1"/>
    <x v="4"/>
    <x v="0"/>
    <x v="0"/>
    <x v="21"/>
    <n v="9"/>
    <n v="8"/>
    <x v="1"/>
  </r>
  <r>
    <s v="TX501179"/>
    <x v="2"/>
    <n v="5"/>
    <n v="94.1"/>
    <n v="470.5"/>
    <x v="46"/>
    <x v="46"/>
    <x v="2"/>
    <x v="1"/>
    <x v="1"/>
    <x v="0"/>
    <x v="21"/>
    <n v="3"/>
    <n v="8"/>
    <x v="2"/>
  </r>
  <r>
    <s v="TX501180"/>
    <x v="9"/>
    <n v="9"/>
    <n v="21.1"/>
    <n v="189.9"/>
    <x v="46"/>
    <x v="43"/>
    <x v="1"/>
    <x v="4"/>
    <x v="2"/>
    <x v="0"/>
    <x v="51"/>
    <n v="1"/>
    <n v="8"/>
    <x v="1"/>
  </r>
  <r>
    <s v="TX501181"/>
    <x v="8"/>
    <n v="7"/>
    <n v="15.3"/>
    <n v="107.10000000000001"/>
    <x v="46"/>
    <x v="54"/>
    <x v="1"/>
    <x v="2"/>
    <x v="0"/>
    <x v="0"/>
    <x v="1"/>
    <n v="8"/>
    <n v="8"/>
    <x v="1"/>
  </r>
  <r>
    <s v="TX501182"/>
    <x v="15"/>
    <n v="4"/>
    <n v="21.3"/>
    <n v="85.2"/>
    <x v="46"/>
    <x v="46"/>
    <x v="0"/>
    <x v="1"/>
    <x v="0"/>
    <x v="0"/>
    <x v="3"/>
    <n v="3"/>
    <n v="8"/>
    <x v="0"/>
  </r>
  <r>
    <s v="TX501183"/>
    <x v="0"/>
    <n v="2"/>
    <n v="23.2"/>
    <n v="46.4"/>
    <x v="46"/>
    <x v="41"/>
    <x v="2"/>
    <x v="3"/>
    <x v="1"/>
    <x v="0"/>
    <x v="3"/>
    <n v="0"/>
    <n v="8"/>
    <x v="2"/>
  </r>
  <r>
    <s v="TX501184"/>
    <x v="4"/>
    <n v="3"/>
    <n v="25.7"/>
    <n v="77.099999999999994"/>
    <x v="46"/>
    <x v="43"/>
    <x v="0"/>
    <x v="4"/>
    <x v="0"/>
    <x v="0"/>
    <x v="3"/>
    <n v="1"/>
    <n v="8"/>
    <x v="0"/>
  </r>
  <r>
    <s v="TX501185"/>
    <x v="0"/>
    <n v="9"/>
    <n v="31.6"/>
    <n v="284.40000000000003"/>
    <x v="46"/>
    <x v="50"/>
    <x v="1"/>
    <x v="0"/>
    <x v="0"/>
    <x v="0"/>
    <x v="3"/>
    <n v="2"/>
    <n v="8"/>
    <x v="1"/>
  </r>
  <r>
    <s v="TX501186"/>
    <x v="6"/>
    <n v="1"/>
    <n v="64.2"/>
    <n v="64.2"/>
    <x v="46"/>
    <x v="47"/>
    <x v="0"/>
    <x v="0"/>
    <x v="0"/>
    <x v="0"/>
    <x v="3"/>
    <n v="5"/>
    <n v="8"/>
    <x v="0"/>
  </r>
  <r>
    <s v="TX501187"/>
    <x v="8"/>
    <n v="2"/>
    <n v="55.8"/>
    <n v="111.6"/>
    <x v="46"/>
    <x v="50"/>
    <x v="2"/>
    <x v="0"/>
    <x v="0"/>
    <x v="0"/>
    <x v="3"/>
    <n v="2"/>
    <n v="8"/>
    <x v="2"/>
  </r>
  <r>
    <s v="TX501188"/>
    <x v="8"/>
    <n v="2"/>
    <n v="28.1"/>
    <n v="56.2"/>
    <x v="46"/>
    <x v="43"/>
    <x v="1"/>
    <x v="4"/>
    <x v="1"/>
    <x v="0"/>
    <x v="3"/>
    <n v="1"/>
    <n v="8"/>
    <x v="1"/>
  </r>
  <r>
    <s v="TX501189"/>
    <x v="0"/>
    <n v="2"/>
    <n v="11.6"/>
    <n v="23.2"/>
    <x v="46"/>
    <x v="50"/>
    <x v="1"/>
    <x v="1"/>
    <x v="0"/>
    <x v="0"/>
    <x v="24"/>
    <n v="2"/>
    <n v="8"/>
    <x v="1"/>
  </r>
  <r>
    <s v="TX501190"/>
    <x v="5"/>
    <n v="3"/>
    <n v="50.4"/>
    <n v="151.19999999999999"/>
    <x v="46"/>
    <x v="43"/>
    <x v="0"/>
    <x v="4"/>
    <x v="2"/>
    <x v="0"/>
    <x v="25"/>
    <n v="1"/>
    <n v="8"/>
    <x v="0"/>
  </r>
  <r>
    <s v="TX501191"/>
    <x v="6"/>
    <n v="6"/>
    <n v="48.3"/>
    <n v="289.79999999999995"/>
    <x v="46"/>
    <x v="49"/>
    <x v="1"/>
    <x v="0"/>
    <x v="0"/>
    <x v="0"/>
    <x v="25"/>
    <n v="4"/>
    <n v="8"/>
    <x v="1"/>
  </r>
  <r>
    <s v="TX501192"/>
    <x v="17"/>
    <n v="7"/>
    <n v="32.200000000000003"/>
    <n v="225.40000000000003"/>
    <x v="46"/>
    <x v="50"/>
    <x v="1"/>
    <x v="2"/>
    <x v="0"/>
    <x v="0"/>
    <x v="25"/>
    <n v="2"/>
    <n v="8"/>
    <x v="1"/>
  </r>
  <r>
    <s v="TX501193"/>
    <x v="7"/>
    <n v="28"/>
    <n v="48.5"/>
    <n v="1358"/>
    <x v="46"/>
    <x v="43"/>
    <x v="0"/>
    <x v="0"/>
    <x v="0"/>
    <x v="0"/>
    <x v="5"/>
    <n v="1"/>
    <n v="8"/>
    <x v="0"/>
  </r>
  <r>
    <s v="TX501194"/>
    <x v="2"/>
    <n v="5"/>
    <n v="62"/>
    <n v="310"/>
    <x v="46"/>
    <x v="46"/>
    <x v="1"/>
    <x v="1"/>
    <x v="0"/>
    <x v="0"/>
    <x v="6"/>
    <n v="3"/>
    <n v="8"/>
    <x v="1"/>
  </r>
  <r>
    <s v="TX501195"/>
    <x v="8"/>
    <n v="3"/>
    <n v="32.1"/>
    <n v="96.300000000000011"/>
    <x v="47"/>
    <x v="46"/>
    <x v="0"/>
    <x v="0"/>
    <x v="0"/>
    <x v="0"/>
    <x v="6"/>
    <n v="2"/>
    <n v="8"/>
    <x v="0"/>
  </r>
  <r>
    <s v="TX501196"/>
    <x v="12"/>
    <n v="3"/>
    <n v="106.1"/>
    <n v="318.29999999999995"/>
    <x v="47"/>
    <x v="46"/>
    <x v="0"/>
    <x v="0"/>
    <x v="1"/>
    <x v="0"/>
    <x v="7"/>
    <n v="2"/>
    <n v="8"/>
    <x v="0"/>
  </r>
  <r>
    <s v="TX501197"/>
    <x v="10"/>
    <n v="3"/>
    <n v="23.5"/>
    <n v="70.5"/>
    <x v="47"/>
    <x v="49"/>
    <x v="0"/>
    <x v="0"/>
    <x v="4"/>
    <x v="0"/>
    <x v="7"/>
    <n v="3"/>
    <n v="8"/>
    <x v="0"/>
  </r>
  <r>
    <s v="TX501198"/>
    <x v="1"/>
    <n v="2"/>
    <n v="35.6"/>
    <n v="71.2"/>
    <x v="47"/>
    <x v="56"/>
    <x v="0"/>
    <x v="4"/>
    <x v="0"/>
    <x v="0"/>
    <x v="8"/>
    <n v="5"/>
    <n v="8"/>
    <x v="0"/>
  </r>
  <r>
    <s v="TX501199"/>
    <x v="1"/>
    <n v="2"/>
    <n v="63.5"/>
    <n v="127"/>
    <x v="47"/>
    <x v="43"/>
    <x v="1"/>
    <x v="1"/>
    <x v="2"/>
    <x v="0"/>
    <x v="8"/>
    <n v="0"/>
    <n v="8"/>
    <x v="1"/>
  </r>
  <r>
    <s v="TX501200"/>
    <x v="6"/>
    <n v="7"/>
    <n v="82.9"/>
    <n v="580.30000000000007"/>
    <x v="47"/>
    <x v="56"/>
    <x v="1"/>
    <x v="4"/>
    <x v="0"/>
    <x v="0"/>
    <x v="9"/>
    <n v="5"/>
    <n v="8"/>
    <x v="1"/>
  </r>
  <r>
    <s v="TX501201"/>
    <x v="6"/>
    <n v="2"/>
    <n v="83.6"/>
    <n v="167.2"/>
    <x v="47"/>
    <x v="56"/>
    <x v="1"/>
    <x v="0"/>
    <x v="0"/>
    <x v="0"/>
    <x v="11"/>
    <n v="5"/>
    <n v="8"/>
    <x v="1"/>
  </r>
  <r>
    <s v="TX501202"/>
    <x v="4"/>
    <n v="2"/>
    <n v="29.4"/>
    <n v="58.8"/>
    <x v="47"/>
    <x v="43"/>
    <x v="1"/>
    <x v="0"/>
    <x v="1"/>
    <x v="0"/>
    <x v="30"/>
    <n v="0"/>
    <n v="8"/>
    <x v="1"/>
  </r>
  <r>
    <s v="TX501203"/>
    <x v="2"/>
    <n v="3"/>
    <n v="107.1"/>
    <n v="321.29999999999995"/>
    <x v="47"/>
    <x v="47"/>
    <x v="1"/>
    <x v="2"/>
    <x v="0"/>
    <x v="0"/>
    <x v="20"/>
    <n v="4"/>
    <n v="8"/>
    <x v="1"/>
  </r>
  <r>
    <s v="TX501204"/>
    <x v="2"/>
    <n v="1"/>
    <n v="62.7"/>
    <n v="62.7"/>
    <x v="47"/>
    <x v="47"/>
    <x v="0"/>
    <x v="1"/>
    <x v="0"/>
    <x v="0"/>
    <x v="21"/>
    <n v="4"/>
    <n v="8"/>
    <x v="0"/>
  </r>
  <r>
    <s v="TX501205"/>
    <x v="11"/>
    <n v="1"/>
    <n v="41.6"/>
    <n v="41.6"/>
    <x v="47"/>
    <x v="50"/>
    <x v="0"/>
    <x v="0"/>
    <x v="1"/>
    <x v="0"/>
    <x v="1"/>
    <n v="1"/>
    <n v="8"/>
    <x v="0"/>
  </r>
  <r>
    <s v="TX501206"/>
    <x v="6"/>
    <n v="1"/>
    <n v="44.2"/>
    <n v="44.2"/>
    <x v="47"/>
    <x v="50"/>
    <x v="3"/>
    <x v="0"/>
    <x v="1"/>
    <x v="0"/>
    <x v="1"/>
    <n v="1"/>
    <n v="8"/>
    <x v="3"/>
  </r>
  <r>
    <s v="TX501207"/>
    <x v="4"/>
    <n v="6"/>
    <n v="40.4"/>
    <n v="242.39999999999998"/>
    <x v="47"/>
    <x v="57"/>
    <x v="1"/>
    <x v="2"/>
    <x v="0"/>
    <x v="0"/>
    <x v="22"/>
    <n v="13"/>
    <n v="8"/>
    <x v="1"/>
  </r>
  <r>
    <s v="TX501208"/>
    <x v="15"/>
    <n v="6"/>
    <n v="59.6"/>
    <n v="357.6"/>
    <x v="47"/>
    <x v="50"/>
    <x v="1"/>
    <x v="4"/>
    <x v="0"/>
    <x v="0"/>
    <x v="34"/>
    <n v="1"/>
    <n v="8"/>
    <x v="1"/>
  </r>
  <r>
    <s v="TX501209"/>
    <x v="17"/>
    <n v="12"/>
    <n v="63.8"/>
    <n v="765.59999999999991"/>
    <x v="47"/>
    <x v="50"/>
    <x v="0"/>
    <x v="1"/>
    <x v="0"/>
    <x v="0"/>
    <x v="3"/>
    <n v="1"/>
    <n v="8"/>
    <x v="0"/>
  </r>
  <r>
    <s v="TX501210"/>
    <x v="9"/>
    <n v="6"/>
    <n v="30.8"/>
    <n v="184.8"/>
    <x v="47"/>
    <x v="46"/>
    <x v="0"/>
    <x v="4"/>
    <x v="0"/>
    <x v="0"/>
    <x v="3"/>
    <n v="2"/>
    <n v="8"/>
    <x v="0"/>
  </r>
  <r>
    <s v="TX501211"/>
    <x v="1"/>
    <n v="2"/>
    <n v="41.5"/>
    <n v="83"/>
    <x v="47"/>
    <x v="49"/>
    <x v="3"/>
    <x v="0"/>
    <x v="0"/>
    <x v="0"/>
    <x v="3"/>
    <n v="3"/>
    <n v="8"/>
    <x v="3"/>
  </r>
  <r>
    <s v="TX501212"/>
    <x v="10"/>
    <n v="4"/>
    <n v="44.7"/>
    <n v="178.8"/>
    <x v="47"/>
    <x v="46"/>
    <x v="1"/>
    <x v="2"/>
    <x v="1"/>
    <x v="0"/>
    <x v="3"/>
    <n v="2"/>
    <n v="8"/>
    <x v="1"/>
  </r>
  <r>
    <s v="TX501213"/>
    <x v="12"/>
    <n v="2"/>
    <n v="64.099999999999994"/>
    <n v="128.19999999999999"/>
    <x v="47"/>
    <x v="47"/>
    <x v="1"/>
    <x v="1"/>
    <x v="4"/>
    <x v="0"/>
    <x v="3"/>
    <n v="4"/>
    <n v="8"/>
    <x v="1"/>
  </r>
  <r>
    <s v="TX501214"/>
    <x v="8"/>
    <n v="1"/>
    <n v="15.9"/>
    <n v="15.9"/>
    <x v="47"/>
    <x v="49"/>
    <x v="2"/>
    <x v="1"/>
    <x v="0"/>
    <x v="0"/>
    <x v="3"/>
    <n v="3"/>
    <n v="8"/>
    <x v="2"/>
  </r>
  <r>
    <s v="TX501215"/>
    <x v="6"/>
    <n v="2"/>
    <n v="78.7"/>
    <n v="157.4"/>
    <x v="47"/>
    <x v="43"/>
    <x v="1"/>
    <x v="2"/>
    <x v="1"/>
    <x v="0"/>
    <x v="3"/>
    <n v="0"/>
    <n v="8"/>
    <x v="1"/>
  </r>
  <r>
    <s v="TX501216"/>
    <x v="5"/>
    <n v="12"/>
    <n v="29.6"/>
    <n v="355.20000000000005"/>
    <x v="47"/>
    <x v="47"/>
    <x v="0"/>
    <x v="2"/>
    <x v="4"/>
    <x v="0"/>
    <x v="3"/>
    <n v="4"/>
    <n v="8"/>
    <x v="0"/>
  </r>
  <r>
    <s v="TX501217"/>
    <x v="8"/>
    <n v="4"/>
    <n v="21.5"/>
    <n v="86"/>
    <x v="47"/>
    <x v="49"/>
    <x v="0"/>
    <x v="1"/>
    <x v="0"/>
    <x v="0"/>
    <x v="3"/>
    <n v="3"/>
    <n v="8"/>
    <x v="0"/>
  </r>
  <r>
    <s v="TX501218"/>
    <x v="9"/>
    <n v="3"/>
    <n v="74.900000000000006"/>
    <n v="224.70000000000002"/>
    <x v="47"/>
    <x v="52"/>
    <x v="0"/>
    <x v="3"/>
    <x v="1"/>
    <x v="0"/>
    <x v="3"/>
    <n v="9"/>
    <n v="8"/>
    <x v="0"/>
  </r>
  <r>
    <s v="TX501219"/>
    <x v="10"/>
    <n v="6"/>
    <n v="45"/>
    <n v="270"/>
    <x v="47"/>
    <x v="56"/>
    <x v="1"/>
    <x v="2"/>
    <x v="0"/>
    <x v="0"/>
    <x v="3"/>
    <n v="5"/>
    <n v="8"/>
    <x v="1"/>
  </r>
  <r>
    <s v="TX501220"/>
    <x v="7"/>
    <n v="34"/>
    <n v="37.9"/>
    <n v="1288.5999999999999"/>
    <x v="47"/>
    <x v="50"/>
    <x v="0"/>
    <x v="0"/>
    <x v="0"/>
    <x v="0"/>
    <x v="3"/>
    <n v="1"/>
    <n v="8"/>
    <x v="0"/>
  </r>
  <r>
    <s v="TX501221"/>
    <x v="6"/>
    <n v="3"/>
    <n v="56.6"/>
    <n v="169.8"/>
    <x v="47"/>
    <x v="50"/>
    <x v="0"/>
    <x v="3"/>
    <x v="0"/>
    <x v="0"/>
    <x v="3"/>
    <n v="1"/>
    <n v="8"/>
    <x v="0"/>
  </r>
  <r>
    <s v="TX501222"/>
    <x v="3"/>
    <n v="13"/>
    <n v="84.5"/>
    <n v="1098.5"/>
    <x v="47"/>
    <x v="49"/>
    <x v="1"/>
    <x v="1"/>
    <x v="4"/>
    <x v="0"/>
    <x v="3"/>
    <n v="3"/>
    <n v="8"/>
    <x v="1"/>
  </r>
  <r>
    <s v="TX501223"/>
    <x v="2"/>
    <n v="5"/>
    <n v="105.4"/>
    <n v="527"/>
    <x v="47"/>
    <x v="46"/>
    <x v="1"/>
    <x v="1"/>
    <x v="1"/>
    <x v="0"/>
    <x v="3"/>
    <n v="2"/>
    <n v="8"/>
    <x v="1"/>
  </r>
  <r>
    <s v="TX501224"/>
    <x v="18"/>
    <n v="7"/>
    <n v="39.4"/>
    <n v="275.8"/>
    <x v="48"/>
    <x v="50"/>
    <x v="0"/>
    <x v="1"/>
    <x v="0"/>
    <x v="0"/>
    <x v="37"/>
    <n v="0"/>
    <n v="8"/>
    <x v="0"/>
  </r>
  <r>
    <s v="TX501225"/>
    <x v="19"/>
    <n v="3"/>
    <n v="38"/>
    <n v="114"/>
    <x v="48"/>
    <x v="47"/>
    <x v="0"/>
    <x v="4"/>
    <x v="1"/>
    <x v="0"/>
    <x v="6"/>
    <n v="3"/>
    <n v="8"/>
    <x v="0"/>
  </r>
  <r>
    <s v="TX501226"/>
    <x v="17"/>
    <n v="4"/>
    <n v="42.5"/>
    <n v="170"/>
    <x v="48"/>
    <x v="49"/>
    <x v="2"/>
    <x v="0"/>
    <x v="0"/>
    <x v="0"/>
    <x v="6"/>
    <n v="2"/>
    <n v="8"/>
    <x v="2"/>
  </r>
  <r>
    <s v="TX501227"/>
    <x v="15"/>
    <n v="1"/>
    <n v="62.3"/>
    <n v="62.3"/>
    <x v="48"/>
    <x v="53"/>
    <x v="0"/>
    <x v="0"/>
    <x v="2"/>
    <x v="0"/>
    <x v="6"/>
    <n v="9"/>
    <n v="8"/>
    <x v="0"/>
  </r>
  <r>
    <s v="TX501228"/>
    <x v="6"/>
    <n v="5"/>
    <n v="49.1"/>
    <n v="245.5"/>
    <x v="48"/>
    <x v="49"/>
    <x v="1"/>
    <x v="1"/>
    <x v="2"/>
    <x v="0"/>
    <x v="7"/>
    <n v="2"/>
    <n v="8"/>
    <x v="1"/>
  </r>
  <r>
    <s v="TX501229"/>
    <x v="3"/>
    <n v="2"/>
    <n v="30.5"/>
    <n v="61"/>
    <x v="48"/>
    <x v="47"/>
    <x v="0"/>
    <x v="0"/>
    <x v="2"/>
    <x v="0"/>
    <x v="8"/>
    <n v="3"/>
    <n v="8"/>
    <x v="0"/>
  </r>
  <r>
    <s v="TX501230"/>
    <x v="2"/>
    <n v="2"/>
    <n v="154.80000000000001"/>
    <n v="309.60000000000002"/>
    <x v="48"/>
    <x v="47"/>
    <x v="1"/>
    <x v="1"/>
    <x v="4"/>
    <x v="0"/>
    <x v="8"/>
    <n v="3"/>
    <n v="8"/>
    <x v="1"/>
  </r>
  <r>
    <s v="TX501231"/>
    <x v="6"/>
    <n v="1"/>
    <n v="45"/>
    <n v="45"/>
    <x v="48"/>
    <x v="56"/>
    <x v="0"/>
    <x v="3"/>
    <x v="1"/>
    <x v="0"/>
    <x v="8"/>
    <n v="4"/>
    <n v="8"/>
    <x v="0"/>
  </r>
  <r>
    <s v="TX501232"/>
    <x v="0"/>
    <n v="7"/>
    <n v="15.3"/>
    <n v="107.10000000000001"/>
    <x v="48"/>
    <x v="46"/>
    <x v="0"/>
    <x v="0"/>
    <x v="2"/>
    <x v="0"/>
    <x v="8"/>
    <n v="1"/>
    <n v="8"/>
    <x v="0"/>
  </r>
  <r>
    <s v="TX501233"/>
    <x v="2"/>
    <n v="11"/>
    <n v="88.6"/>
    <n v="974.59999999999991"/>
    <x v="48"/>
    <x v="47"/>
    <x v="1"/>
    <x v="0"/>
    <x v="4"/>
    <x v="0"/>
    <x v="17"/>
    <n v="3"/>
    <n v="8"/>
    <x v="1"/>
  </r>
  <r>
    <s v="TX501234"/>
    <x v="9"/>
    <n v="2"/>
    <n v="49.7"/>
    <n v="99.4"/>
    <x v="48"/>
    <x v="49"/>
    <x v="3"/>
    <x v="4"/>
    <x v="0"/>
    <x v="0"/>
    <x v="10"/>
    <n v="2"/>
    <n v="8"/>
    <x v="3"/>
  </r>
  <r>
    <s v="TX501235"/>
    <x v="10"/>
    <n v="1"/>
    <n v="29"/>
    <n v="29"/>
    <x v="48"/>
    <x v="46"/>
    <x v="0"/>
    <x v="0"/>
    <x v="0"/>
    <x v="0"/>
    <x v="11"/>
    <n v="1"/>
    <n v="8"/>
    <x v="0"/>
  </r>
  <r>
    <s v="TX501236"/>
    <x v="1"/>
    <n v="1"/>
    <n v="60.7"/>
    <n v="60.7"/>
    <x v="48"/>
    <x v="46"/>
    <x v="3"/>
    <x v="0"/>
    <x v="1"/>
    <x v="0"/>
    <x v="11"/>
    <n v="1"/>
    <n v="8"/>
    <x v="3"/>
  </r>
  <r>
    <s v="TX501237"/>
    <x v="17"/>
    <n v="4"/>
    <n v="87.4"/>
    <n v="349.6"/>
    <x v="48"/>
    <x v="49"/>
    <x v="2"/>
    <x v="0"/>
    <x v="0"/>
    <x v="0"/>
    <x v="11"/>
    <n v="2"/>
    <n v="8"/>
    <x v="2"/>
  </r>
  <r>
    <s v="TX501238"/>
    <x v="4"/>
    <n v="7"/>
    <n v="44.5"/>
    <n v="311.5"/>
    <x v="48"/>
    <x v="56"/>
    <x v="1"/>
    <x v="2"/>
    <x v="2"/>
    <x v="0"/>
    <x v="19"/>
    <n v="4"/>
    <n v="8"/>
    <x v="1"/>
  </r>
  <r>
    <s v="TX501239"/>
    <x v="2"/>
    <n v="1"/>
    <n v="141"/>
    <n v="141"/>
    <x v="48"/>
    <x v="46"/>
    <x v="0"/>
    <x v="4"/>
    <x v="2"/>
    <x v="0"/>
    <x v="19"/>
    <n v="1"/>
    <n v="8"/>
    <x v="0"/>
  </r>
  <r>
    <s v="TX501240"/>
    <x v="0"/>
    <n v="3"/>
    <n v="16.7"/>
    <n v="50.099999999999994"/>
    <x v="48"/>
    <x v="52"/>
    <x v="1"/>
    <x v="0"/>
    <x v="0"/>
    <x v="0"/>
    <x v="20"/>
    <n v="8"/>
    <n v="8"/>
    <x v="1"/>
  </r>
  <r>
    <s v="TX501241"/>
    <x v="1"/>
    <n v="2"/>
    <n v="77.5"/>
    <n v="155"/>
    <x v="48"/>
    <x v="46"/>
    <x v="2"/>
    <x v="2"/>
    <x v="2"/>
    <x v="0"/>
    <x v="13"/>
    <n v="1"/>
    <n v="8"/>
    <x v="2"/>
  </r>
  <r>
    <s v="TX501242"/>
    <x v="2"/>
    <n v="2"/>
    <n v="163"/>
    <n v="326"/>
    <x v="48"/>
    <x v="54"/>
    <x v="1"/>
    <x v="4"/>
    <x v="0"/>
    <x v="0"/>
    <x v="21"/>
    <n v="6"/>
    <n v="8"/>
    <x v="1"/>
  </r>
  <r>
    <s v="TX501243"/>
    <x v="4"/>
    <n v="9"/>
    <n v="21.4"/>
    <n v="192.6"/>
    <x v="48"/>
    <x v="47"/>
    <x v="1"/>
    <x v="0"/>
    <x v="0"/>
    <x v="0"/>
    <x v="51"/>
    <n v="3"/>
    <n v="8"/>
    <x v="1"/>
  </r>
  <r>
    <s v="TX501244"/>
    <x v="10"/>
    <n v="11"/>
    <n v="31"/>
    <n v="341"/>
    <x v="48"/>
    <x v="49"/>
    <x v="1"/>
    <x v="3"/>
    <x v="2"/>
    <x v="0"/>
    <x v="1"/>
    <n v="2"/>
    <n v="8"/>
    <x v="1"/>
  </r>
  <r>
    <s v="TX501245"/>
    <x v="7"/>
    <n v="2"/>
    <n v="34.299999999999997"/>
    <n v="68.599999999999994"/>
    <x v="48"/>
    <x v="49"/>
    <x v="1"/>
    <x v="0"/>
    <x v="3"/>
    <x v="0"/>
    <x v="1"/>
    <n v="2"/>
    <n v="8"/>
    <x v="1"/>
  </r>
  <r>
    <s v="TX501246"/>
    <x v="17"/>
    <n v="5"/>
    <n v="48.2"/>
    <n v="241"/>
    <x v="48"/>
    <x v="46"/>
    <x v="0"/>
    <x v="1"/>
    <x v="1"/>
    <x v="0"/>
    <x v="2"/>
    <n v="1"/>
    <n v="8"/>
    <x v="0"/>
  </r>
  <r>
    <s v="TX501247"/>
    <x v="10"/>
    <n v="1"/>
    <n v="51.4"/>
    <n v="51.4"/>
    <x v="48"/>
    <x v="46"/>
    <x v="0"/>
    <x v="0"/>
    <x v="0"/>
    <x v="0"/>
    <x v="3"/>
    <n v="1"/>
    <n v="8"/>
    <x v="0"/>
  </r>
  <r>
    <s v="TX501248"/>
    <x v="2"/>
    <n v="5"/>
    <n v="117.2"/>
    <n v="586"/>
    <x v="48"/>
    <x v="47"/>
    <x v="1"/>
    <x v="4"/>
    <x v="4"/>
    <x v="0"/>
    <x v="3"/>
    <n v="3"/>
    <n v="8"/>
    <x v="1"/>
  </r>
  <r>
    <s v="TX501249"/>
    <x v="8"/>
    <n v="1"/>
    <n v="38.1"/>
    <n v="38.1"/>
    <x v="48"/>
    <x v="50"/>
    <x v="0"/>
    <x v="4"/>
    <x v="1"/>
    <x v="0"/>
    <x v="3"/>
    <n v="0"/>
    <n v="8"/>
    <x v="0"/>
  </r>
  <r>
    <s v="TX501250"/>
    <x v="0"/>
    <n v="2"/>
    <n v="44.1"/>
    <n v="88.2"/>
    <x v="48"/>
    <x v="49"/>
    <x v="1"/>
    <x v="2"/>
    <x v="0"/>
    <x v="0"/>
    <x v="3"/>
    <n v="2"/>
    <n v="8"/>
    <x v="1"/>
  </r>
  <r>
    <s v="TX501251"/>
    <x v="15"/>
    <n v="4"/>
    <n v="80.5"/>
    <n v="322"/>
    <x v="48"/>
    <x v="55"/>
    <x v="0"/>
    <x v="0"/>
    <x v="0"/>
    <x v="0"/>
    <x v="3"/>
    <n v="5"/>
    <n v="8"/>
    <x v="0"/>
  </r>
  <r>
    <s v="TX501252"/>
    <x v="18"/>
    <n v="4"/>
    <n v="33.6"/>
    <n v="134.4"/>
    <x v="48"/>
    <x v="55"/>
    <x v="2"/>
    <x v="0"/>
    <x v="2"/>
    <x v="0"/>
    <x v="3"/>
    <n v="5"/>
    <n v="8"/>
    <x v="2"/>
  </r>
  <r>
    <s v="TX501253"/>
    <x v="9"/>
    <n v="9"/>
    <n v="41.8"/>
    <n v="376.2"/>
    <x v="48"/>
    <x v="46"/>
    <x v="1"/>
    <x v="0"/>
    <x v="1"/>
    <x v="0"/>
    <x v="3"/>
    <n v="1"/>
    <n v="8"/>
    <x v="1"/>
  </r>
  <r>
    <s v="TX501254"/>
    <x v="1"/>
    <n v="2"/>
    <n v="106.2"/>
    <n v="212.4"/>
    <x v="48"/>
    <x v="50"/>
    <x v="1"/>
    <x v="4"/>
    <x v="2"/>
    <x v="0"/>
    <x v="3"/>
    <n v="0"/>
    <n v="8"/>
    <x v="1"/>
  </r>
  <r>
    <s v="TX501255"/>
    <x v="1"/>
    <n v="2"/>
    <n v="52.6"/>
    <n v="105.2"/>
    <x v="48"/>
    <x v="46"/>
    <x v="1"/>
    <x v="0"/>
    <x v="2"/>
    <x v="0"/>
    <x v="5"/>
    <n v="1"/>
    <n v="8"/>
    <x v="1"/>
  </r>
  <r>
    <s v="TX501256"/>
    <x v="11"/>
    <n v="7"/>
    <n v="68.5"/>
    <n v="479.5"/>
    <x v="48"/>
    <x v="46"/>
    <x v="1"/>
    <x v="1"/>
    <x v="0"/>
    <x v="0"/>
    <x v="5"/>
    <n v="1"/>
    <n v="8"/>
    <x v="1"/>
  </r>
  <r>
    <s v="TX501257"/>
    <x v="1"/>
    <n v="2"/>
    <n v="55.6"/>
    <n v="111.2"/>
    <x v="48"/>
    <x v="49"/>
    <x v="0"/>
    <x v="1"/>
    <x v="2"/>
    <x v="0"/>
    <x v="6"/>
    <n v="2"/>
    <n v="8"/>
    <x v="0"/>
  </r>
  <r>
    <s v="TX501258"/>
    <x v="2"/>
    <n v="3"/>
    <n v="134.9"/>
    <n v="404.70000000000005"/>
    <x v="48"/>
    <x v="46"/>
    <x v="0"/>
    <x v="1"/>
    <x v="1"/>
    <x v="0"/>
    <x v="6"/>
    <n v="1"/>
    <n v="8"/>
    <x v="0"/>
  </r>
  <r>
    <s v="TX501259"/>
    <x v="10"/>
    <n v="5"/>
    <n v="42.6"/>
    <n v="213"/>
    <x v="48"/>
    <x v="46"/>
    <x v="0"/>
    <x v="0"/>
    <x v="0"/>
    <x v="0"/>
    <x v="6"/>
    <n v="1"/>
    <n v="8"/>
    <x v="0"/>
  </r>
  <r>
    <s v="TX501260"/>
    <x v="7"/>
    <n v="5"/>
    <n v="60.6"/>
    <n v="303"/>
    <x v="48"/>
    <x v="49"/>
    <x v="0"/>
    <x v="4"/>
    <x v="0"/>
    <x v="0"/>
    <x v="6"/>
    <n v="2"/>
    <n v="8"/>
    <x v="0"/>
  </r>
  <r>
    <s v="TX501261"/>
    <x v="8"/>
    <n v="2"/>
    <n v="43.5"/>
    <n v="87"/>
    <x v="48"/>
    <x v="46"/>
    <x v="0"/>
    <x v="4"/>
    <x v="0"/>
    <x v="0"/>
    <x v="7"/>
    <n v="1"/>
    <n v="8"/>
    <x v="0"/>
  </r>
  <r>
    <s v="TX501262"/>
    <x v="2"/>
    <n v="2"/>
    <n v="187.1"/>
    <n v="374.2"/>
    <x v="48"/>
    <x v="46"/>
    <x v="0"/>
    <x v="1"/>
    <x v="2"/>
    <x v="0"/>
    <x v="8"/>
    <n v="1"/>
    <n v="8"/>
    <x v="0"/>
  </r>
  <r>
    <s v="TX501263"/>
    <x v="9"/>
    <n v="3"/>
    <n v="32"/>
    <n v="96"/>
    <x v="48"/>
    <x v="49"/>
    <x v="0"/>
    <x v="0"/>
    <x v="0"/>
    <x v="0"/>
    <x v="8"/>
    <n v="2"/>
    <n v="8"/>
    <x v="0"/>
  </r>
  <r>
    <s v="TX501264"/>
    <x v="9"/>
    <n v="2"/>
    <n v="110.8"/>
    <n v="221.6"/>
    <x v="48"/>
    <x v="50"/>
    <x v="0"/>
    <x v="0"/>
    <x v="2"/>
    <x v="0"/>
    <x v="8"/>
    <n v="0"/>
    <n v="8"/>
    <x v="0"/>
  </r>
  <r>
    <s v="TX501265"/>
    <x v="10"/>
    <n v="13"/>
    <n v="36.1"/>
    <n v="469.3"/>
    <x v="48"/>
    <x v="47"/>
    <x v="1"/>
    <x v="0"/>
    <x v="1"/>
    <x v="0"/>
    <x v="8"/>
    <n v="3"/>
    <n v="8"/>
    <x v="1"/>
  </r>
  <r>
    <s v="TX501266"/>
    <x v="0"/>
    <n v="1"/>
    <n v="24.1"/>
    <n v="24.1"/>
    <x v="48"/>
    <x v="49"/>
    <x v="1"/>
    <x v="4"/>
    <x v="2"/>
    <x v="0"/>
    <x v="8"/>
    <n v="2"/>
    <n v="8"/>
    <x v="1"/>
  </r>
  <r>
    <s v="TX501267"/>
    <x v="19"/>
    <n v="3"/>
    <n v="30.5"/>
    <n v="91.5"/>
    <x v="48"/>
    <x v="49"/>
    <x v="0"/>
    <x v="1"/>
    <x v="0"/>
    <x v="0"/>
    <x v="8"/>
    <n v="2"/>
    <n v="8"/>
    <x v="0"/>
  </r>
  <r>
    <s v="TX501268"/>
    <x v="18"/>
    <n v="6"/>
    <n v="68.3"/>
    <n v="409.79999999999995"/>
    <x v="48"/>
    <x v="47"/>
    <x v="0"/>
    <x v="0"/>
    <x v="0"/>
    <x v="0"/>
    <x v="8"/>
    <n v="3"/>
    <n v="8"/>
    <x v="0"/>
  </r>
  <r>
    <s v="TX501269"/>
    <x v="7"/>
    <n v="3"/>
    <n v="43.3"/>
    <n v="129.89999999999998"/>
    <x v="48"/>
    <x v="56"/>
    <x v="1"/>
    <x v="0"/>
    <x v="0"/>
    <x v="0"/>
    <x v="17"/>
    <n v="4"/>
    <n v="8"/>
    <x v="1"/>
  </r>
  <r>
    <s v="TX501270"/>
    <x v="3"/>
    <n v="1"/>
    <n v="101.7"/>
    <n v="101.7"/>
    <x v="48"/>
    <x v="47"/>
    <x v="1"/>
    <x v="0"/>
    <x v="1"/>
    <x v="0"/>
    <x v="17"/>
    <n v="3"/>
    <n v="8"/>
    <x v="1"/>
  </r>
  <r>
    <s v="TX501271"/>
    <x v="11"/>
    <n v="2"/>
    <n v="54.2"/>
    <n v="108.4"/>
    <x v="48"/>
    <x v="46"/>
    <x v="1"/>
    <x v="0"/>
    <x v="1"/>
    <x v="0"/>
    <x v="17"/>
    <n v="1"/>
    <n v="8"/>
    <x v="1"/>
  </r>
  <r>
    <s v="TX501272"/>
    <x v="16"/>
    <n v="2"/>
    <n v="51"/>
    <n v="102"/>
    <x v="48"/>
    <x v="50"/>
    <x v="0"/>
    <x v="1"/>
    <x v="0"/>
    <x v="0"/>
    <x v="26"/>
    <n v="0"/>
    <n v="8"/>
    <x v="0"/>
  </r>
  <r>
    <s v="TX501273"/>
    <x v="4"/>
    <n v="2"/>
    <n v="23.1"/>
    <n v="46.2"/>
    <x v="48"/>
    <x v="47"/>
    <x v="0"/>
    <x v="1"/>
    <x v="0"/>
    <x v="0"/>
    <x v="10"/>
    <n v="3"/>
    <n v="8"/>
    <x v="0"/>
  </r>
  <r>
    <s v="TX501274"/>
    <x v="12"/>
    <n v="6"/>
    <n v="60.1"/>
    <n v="360.6"/>
    <x v="48"/>
    <x v="50"/>
    <x v="1"/>
    <x v="3"/>
    <x v="0"/>
    <x v="0"/>
    <x v="11"/>
    <n v="0"/>
    <n v="8"/>
    <x v="1"/>
  </r>
  <r>
    <s v="TX501275"/>
    <x v="2"/>
    <n v="7"/>
    <n v="87.5"/>
    <n v="612.5"/>
    <x v="48"/>
    <x v="49"/>
    <x v="1"/>
    <x v="0"/>
    <x v="1"/>
    <x v="0"/>
    <x v="11"/>
    <n v="2"/>
    <n v="8"/>
    <x v="1"/>
  </r>
  <r>
    <s v="TX501276"/>
    <x v="1"/>
    <n v="3"/>
    <n v="51"/>
    <n v="153"/>
    <x v="48"/>
    <x v="46"/>
    <x v="1"/>
    <x v="1"/>
    <x v="0"/>
    <x v="0"/>
    <x v="11"/>
    <n v="1"/>
    <n v="8"/>
    <x v="1"/>
  </r>
  <r>
    <s v="TX501277"/>
    <x v="8"/>
    <n v="4"/>
    <n v="19.2"/>
    <n v="76.8"/>
    <x v="48"/>
    <x v="49"/>
    <x v="1"/>
    <x v="0"/>
    <x v="0"/>
    <x v="0"/>
    <x v="11"/>
    <n v="2"/>
    <n v="8"/>
    <x v="1"/>
  </r>
  <r>
    <s v="TX501278"/>
    <x v="5"/>
    <n v="8"/>
    <n v="26.5"/>
    <n v="212"/>
    <x v="48"/>
    <x v="46"/>
    <x v="2"/>
    <x v="3"/>
    <x v="2"/>
    <x v="0"/>
    <x v="11"/>
    <n v="1"/>
    <n v="8"/>
    <x v="2"/>
  </r>
  <r>
    <s v="TX501279"/>
    <x v="2"/>
    <n v="2"/>
    <n v="220.3"/>
    <n v="440.6"/>
    <x v="48"/>
    <x v="46"/>
    <x v="1"/>
    <x v="1"/>
    <x v="4"/>
    <x v="0"/>
    <x v="53"/>
    <n v="1"/>
    <n v="8"/>
    <x v="1"/>
  </r>
  <r>
    <s v="TX501280"/>
    <x v="8"/>
    <n v="3"/>
    <n v="45.7"/>
    <n v="137.10000000000002"/>
    <x v="48"/>
    <x v="46"/>
    <x v="1"/>
    <x v="4"/>
    <x v="0"/>
    <x v="0"/>
    <x v="30"/>
    <n v="1"/>
    <n v="8"/>
    <x v="1"/>
  </r>
  <r>
    <s v="TX501281"/>
    <x v="5"/>
    <n v="5"/>
    <n v="47.1"/>
    <n v="235.5"/>
    <x v="48"/>
    <x v="56"/>
    <x v="1"/>
    <x v="3"/>
    <x v="0"/>
    <x v="0"/>
    <x v="13"/>
    <n v="4"/>
    <n v="8"/>
    <x v="1"/>
  </r>
  <r>
    <s v="TX501282"/>
    <x v="1"/>
    <n v="5"/>
    <n v="81.7"/>
    <n v="408.5"/>
    <x v="48"/>
    <x v="46"/>
    <x v="1"/>
    <x v="0"/>
    <x v="2"/>
    <x v="0"/>
    <x v="21"/>
    <n v="1"/>
    <n v="8"/>
    <x v="1"/>
  </r>
  <r>
    <s v="TX501283"/>
    <x v="6"/>
    <n v="10"/>
    <n v="97.8"/>
    <n v="978"/>
    <x v="48"/>
    <x v="50"/>
    <x v="0"/>
    <x v="1"/>
    <x v="1"/>
    <x v="0"/>
    <x v="21"/>
    <n v="0"/>
    <n v="8"/>
    <x v="0"/>
  </r>
  <r>
    <s v="TX501284"/>
    <x v="6"/>
    <n v="3"/>
    <n v="42.4"/>
    <n v="127.19999999999999"/>
    <x v="48"/>
    <x v="46"/>
    <x v="1"/>
    <x v="0"/>
    <x v="2"/>
    <x v="0"/>
    <x v="54"/>
    <n v="1"/>
    <n v="8"/>
    <x v="1"/>
  </r>
  <r>
    <s v="TX501285"/>
    <x v="2"/>
    <n v="10"/>
    <n v="74.5"/>
    <n v="745"/>
    <x v="48"/>
    <x v="46"/>
    <x v="0"/>
    <x v="2"/>
    <x v="1"/>
    <x v="0"/>
    <x v="1"/>
    <n v="1"/>
    <n v="8"/>
    <x v="0"/>
  </r>
  <r>
    <s v="TX501286"/>
    <x v="17"/>
    <n v="6"/>
    <n v="47.4"/>
    <n v="284.39999999999998"/>
    <x v="48"/>
    <x v="46"/>
    <x v="0"/>
    <x v="1"/>
    <x v="0"/>
    <x v="0"/>
    <x v="1"/>
    <n v="1"/>
    <n v="8"/>
    <x v="0"/>
  </r>
  <r>
    <s v="TX501287"/>
    <x v="14"/>
    <n v="3"/>
    <n v="17.3"/>
    <n v="51.900000000000006"/>
    <x v="49"/>
    <x v="56"/>
    <x v="0"/>
    <x v="2"/>
    <x v="2"/>
    <x v="0"/>
    <x v="1"/>
    <n v="3"/>
    <n v="8"/>
    <x v="0"/>
  </r>
  <r>
    <s v="TX501288"/>
    <x v="12"/>
    <n v="4"/>
    <n v="77.900000000000006"/>
    <n v="311.60000000000002"/>
    <x v="49"/>
    <x v="49"/>
    <x v="0"/>
    <x v="1"/>
    <x v="0"/>
    <x v="0"/>
    <x v="2"/>
    <n v="1"/>
    <n v="8"/>
    <x v="0"/>
  </r>
  <r>
    <s v="TX501289"/>
    <x v="8"/>
    <n v="1"/>
    <n v="29.1"/>
    <n v="29.1"/>
    <x v="49"/>
    <x v="56"/>
    <x v="0"/>
    <x v="0"/>
    <x v="2"/>
    <x v="0"/>
    <x v="50"/>
    <n v="3"/>
    <n v="8"/>
    <x v="0"/>
  </r>
  <r>
    <s v="TX501290"/>
    <x v="8"/>
    <n v="1"/>
    <n v="49"/>
    <n v="49"/>
    <x v="49"/>
    <x v="49"/>
    <x v="0"/>
    <x v="1"/>
    <x v="0"/>
    <x v="0"/>
    <x v="3"/>
    <n v="1"/>
    <n v="8"/>
    <x v="0"/>
  </r>
  <r>
    <s v="TX501291"/>
    <x v="8"/>
    <n v="6"/>
    <n v="21.1"/>
    <n v="126.60000000000001"/>
    <x v="49"/>
    <x v="52"/>
    <x v="0"/>
    <x v="0"/>
    <x v="2"/>
    <x v="0"/>
    <x v="3"/>
    <n v="7"/>
    <n v="8"/>
    <x v="0"/>
  </r>
  <r>
    <s v="TX501292"/>
    <x v="4"/>
    <n v="19"/>
    <n v="36.9"/>
    <n v="701.1"/>
    <x v="49"/>
    <x v="46"/>
    <x v="1"/>
    <x v="0"/>
    <x v="0"/>
    <x v="0"/>
    <x v="3"/>
    <n v="0"/>
    <n v="8"/>
    <x v="1"/>
  </r>
  <r>
    <s v="TX501293"/>
    <x v="1"/>
    <n v="10"/>
    <n v="92.6"/>
    <n v="926"/>
    <x v="49"/>
    <x v="54"/>
    <x v="0"/>
    <x v="4"/>
    <x v="2"/>
    <x v="0"/>
    <x v="3"/>
    <n v="5"/>
    <n v="8"/>
    <x v="0"/>
  </r>
  <r>
    <s v="TX501294"/>
    <x v="10"/>
    <n v="2"/>
    <n v="38"/>
    <n v="76"/>
    <x v="49"/>
    <x v="49"/>
    <x v="0"/>
    <x v="1"/>
    <x v="1"/>
    <x v="0"/>
    <x v="3"/>
    <n v="1"/>
    <n v="8"/>
    <x v="0"/>
  </r>
  <r>
    <s v="TX501295"/>
    <x v="5"/>
    <n v="3"/>
    <n v="54.8"/>
    <n v="164.39999999999998"/>
    <x v="49"/>
    <x v="55"/>
    <x v="2"/>
    <x v="0"/>
    <x v="1"/>
    <x v="0"/>
    <x v="3"/>
    <n v="4"/>
    <n v="8"/>
    <x v="2"/>
  </r>
  <r>
    <s v="TX501296"/>
    <x v="10"/>
    <n v="12"/>
    <n v="56.8"/>
    <n v="681.59999999999991"/>
    <x v="49"/>
    <x v="47"/>
    <x v="0"/>
    <x v="1"/>
    <x v="0"/>
    <x v="0"/>
    <x v="3"/>
    <n v="2"/>
    <n v="8"/>
    <x v="0"/>
  </r>
  <r>
    <s v="TX501297"/>
    <x v="11"/>
    <n v="33"/>
    <n v="47.2"/>
    <n v="1557.6000000000001"/>
    <x v="49"/>
    <x v="56"/>
    <x v="1"/>
    <x v="1"/>
    <x v="0"/>
    <x v="0"/>
    <x v="3"/>
    <n v="3"/>
    <n v="8"/>
    <x v="1"/>
  </r>
  <r>
    <s v="TX501298"/>
    <x v="7"/>
    <n v="6"/>
    <n v="45.1"/>
    <n v="270.60000000000002"/>
    <x v="49"/>
    <x v="49"/>
    <x v="1"/>
    <x v="2"/>
    <x v="0"/>
    <x v="0"/>
    <x v="43"/>
    <n v="1"/>
    <n v="8"/>
    <x v="1"/>
  </r>
  <r>
    <s v="TX501299"/>
    <x v="4"/>
    <n v="12"/>
    <n v="25.2"/>
    <n v="302.39999999999998"/>
    <x v="49"/>
    <x v="54"/>
    <x v="1"/>
    <x v="2"/>
    <x v="0"/>
    <x v="0"/>
    <x v="16"/>
    <n v="5"/>
    <n v="8"/>
    <x v="1"/>
  </r>
  <r>
    <s v="TX501300"/>
    <x v="8"/>
    <n v="1"/>
    <n v="22"/>
    <n v="22"/>
    <x v="49"/>
    <x v="49"/>
    <x v="1"/>
    <x v="0"/>
    <x v="0"/>
    <x v="0"/>
    <x v="5"/>
    <n v="1"/>
    <n v="8"/>
    <x v="1"/>
  </r>
  <r>
    <s v="TX501301"/>
    <x v="6"/>
    <n v="2"/>
    <n v="42.2"/>
    <n v="84.4"/>
    <x v="49"/>
    <x v="49"/>
    <x v="1"/>
    <x v="1"/>
    <x v="1"/>
    <x v="0"/>
    <x v="23"/>
    <n v="1"/>
    <n v="8"/>
    <x v="1"/>
  </r>
  <r>
    <s v="TX501302"/>
    <x v="13"/>
    <n v="3"/>
    <n v="20.5"/>
    <n v="61.5"/>
    <x v="49"/>
    <x v="49"/>
    <x v="0"/>
    <x v="0"/>
    <x v="1"/>
    <x v="0"/>
    <x v="6"/>
    <n v="1"/>
    <n v="8"/>
    <x v="0"/>
  </r>
  <r>
    <s v="TX501303"/>
    <x v="2"/>
    <n v="1"/>
    <n v="190.4"/>
    <n v="190.4"/>
    <x v="49"/>
    <x v="54"/>
    <x v="0"/>
    <x v="1"/>
    <x v="4"/>
    <x v="0"/>
    <x v="6"/>
    <n v="5"/>
    <n v="8"/>
    <x v="0"/>
  </r>
  <r>
    <s v="TX501304"/>
    <x v="2"/>
    <n v="1"/>
    <n v="121.9"/>
    <n v="121.9"/>
    <x v="49"/>
    <x v="47"/>
    <x v="1"/>
    <x v="1"/>
    <x v="2"/>
    <x v="0"/>
    <x v="6"/>
    <n v="2"/>
    <n v="8"/>
    <x v="1"/>
  </r>
  <r>
    <s v="TX501305"/>
    <x v="2"/>
    <n v="6"/>
    <n v="149.19999999999999"/>
    <n v="895.19999999999993"/>
    <x v="49"/>
    <x v="49"/>
    <x v="1"/>
    <x v="2"/>
    <x v="2"/>
    <x v="0"/>
    <x v="7"/>
    <n v="1"/>
    <n v="8"/>
    <x v="1"/>
  </r>
  <r>
    <s v="TX501306"/>
    <x v="2"/>
    <n v="1"/>
    <n v="54.1"/>
    <n v="54.1"/>
    <x v="49"/>
    <x v="58"/>
    <x v="1"/>
    <x v="2"/>
    <x v="2"/>
    <x v="0"/>
    <x v="7"/>
    <n v="9"/>
    <n v="8"/>
    <x v="1"/>
  </r>
  <r>
    <s v="TX501307"/>
    <x v="5"/>
    <n v="2"/>
    <n v="27.4"/>
    <n v="54.8"/>
    <x v="49"/>
    <x v="47"/>
    <x v="0"/>
    <x v="1"/>
    <x v="0"/>
    <x v="0"/>
    <x v="8"/>
    <n v="2"/>
    <n v="8"/>
    <x v="0"/>
  </r>
  <r>
    <s v="TX501308"/>
    <x v="0"/>
    <n v="13"/>
    <n v="30.4"/>
    <n v="395.2"/>
    <x v="49"/>
    <x v="49"/>
    <x v="1"/>
    <x v="0"/>
    <x v="2"/>
    <x v="0"/>
    <x v="8"/>
    <n v="1"/>
    <n v="8"/>
    <x v="1"/>
  </r>
  <r>
    <s v="TX501309"/>
    <x v="12"/>
    <n v="3"/>
    <n v="46.2"/>
    <n v="138.60000000000002"/>
    <x v="49"/>
    <x v="47"/>
    <x v="0"/>
    <x v="2"/>
    <x v="1"/>
    <x v="0"/>
    <x v="17"/>
    <n v="2"/>
    <n v="8"/>
    <x v="0"/>
  </r>
  <r>
    <s v="TX501310"/>
    <x v="7"/>
    <n v="8"/>
    <n v="78.599999999999994"/>
    <n v="628.79999999999995"/>
    <x v="49"/>
    <x v="55"/>
    <x v="0"/>
    <x v="3"/>
    <x v="0"/>
    <x v="0"/>
    <x v="17"/>
    <n v="4"/>
    <n v="8"/>
    <x v="0"/>
  </r>
  <r>
    <s v="TX501311"/>
    <x v="17"/>
    <n v="10"/>
    <n v="25.9"/>
    <n v="259"/>
    <x v="49"/>
    <x v="51"/>
    <x v="0"/>
    <x v="4"/>
    <x v="0"/>
    <x v="0"/>
    <x v="9"/>
    <n v="6"/>
    <n v="8"/>
    <x v="0"/>
  </r>
  <r>
    <s v="TX501312"/>
    <x v="6"/>
    <n v="1"/>
    <n v="134.80000000000001"/>
    <n v="134.80000000000001"/>
    <x v="49"/>
    <x v="47"/>
    <x v="0"/>
    <x v="2"/>
    <x v="2"/>
    <x v="0"/>
    <x v="9"/>
    <n v="2"/>
    <n v="8"/>
    <x v="0"/>
  </r>
  <r>
    <s v="TX501313"/>
    <x v="15"/>
    <n v="5"/>
    <n v="43.1"/>
    <n v="215.5"/>
    <x v="49"/>
    <x v="47"/>
    <x v="1"/>
    <x v="0"/>
    <x v="0"/>
    <x v="0"/>
    <x v="11"/>
    <n v="2"/>
    <n v="8"/>
    <x v="1"/>
  </r>
  <r>
    <s v="TX501314"/>
    <x v="2"/>
    <n v="2"/>
    <n v="215.6"/>
    <n v="431.2"/>
    <x v="49"/>
    <x v="49"/>
    <x v="1"/>
    <x v="2"/>
    <x v="0"/>
    <x v="0"/>
    <x v="18"/>
    <n v="1"/>
    <n v="8"/>
    <x v="1"/>
  </r>
  <r>
    <s v="TX501315"/>
    <x v="6"/>
    <n v="2"/>
    <n v="80.7"/>
    <n v="161.4"/>
    <x v="49"/>
    <x v="56"/>
    <x v="1"/>
    <x v="3"/>
    <x v="0"/>
    <x v="0"/>
    <x v="18"/>
    <n v="3"/>
    <n v="8"/>
    <x v="1"/>
  </r>
  <r>
    <s v="TX501316"/>
    <x v="10"/>
    <n v="7"/>
    <n v="20.6"/>
    <n v="144.20000000000002"/>
    <x v="49"/>
    <x v="54"/>
    <x v="2"/>
    <x v="2"/>
    <x v="1"/>
    <x v="0"/>
    <x v="19"/>
    <n v="5"/>
    <n v="8"/>
    <x v="2"/>
  </r>
  <r>
    <s v="TX501317"/>
    <x v="12"/>
    <n v="3"/>
    <n v="37.1"/>
    <n v="111.30000000000001"/>
    <x v="49"/>
    <x v="49"/>
    <x v="1"/>
    <x v="0"/>
    <x v="0"/>
    <x v="0"/>
    <x v="52"/>
    <n v="1"/>
    <n v="8"/>
    <x v="1"/>
  </r>
  <r>
    <s v="TX501318"/>
    <x v="12"/>
    <n v="1"/>
    <n v="104.8"/>
    <n v="104.8"/>
    <x v="50"/>
    <x v="56"/>
    <x v="1"/>
    <x v="0"/>
    <x v="0"/>
    <x v="0"/>
    <x v="13"/>
    <n v="2"/>
    <n v="8"/>
    <x v="1"/>
  </r>
  <r>
    <s v="TX501319"/>
    <x v="8"/>
    <n v="2"/>
    <n v="59"/>
    <n v="118"/>
    <x v="50"/>
    <x v="47"/>
    <x v="0"/>
    <x v="1"/>
    <x v="0"/>
    <x v="0"/>
    <x v="21"/>
    <n v="1"/>
    <n v="8"/>
    <x v="0"/>
  </r>
  <r>
    <s v="TX501320"/>
    <x v="8"/>
    <n v="2"/>
    <n v="32.299999999999997"/>
    <n v="64.599999999999994"/>
    <x v="50"/>
    <x v="47"/>
    <x v="0"/>
    <x v="0"/>
    <x v="2"/>
    <x v="0"/>
    <x v="21"/>
    <n v="1"/>
    <n v="8"/>
    <x v="0"/>
  </r>
  <r>
    <s v="TX501321"/>
    <x v="8"/>
    <n v="4"/>
    <n v="28.9"/>
    <n v="115.6"/>
    <x v="50"/>
    <x v="53"/>
    <x v="0"/>
    <x v="0"/>
    <x v="0"/>
    <x v="0"/>
    <x v="1"/>
    <n v="7"/>
    <n v="8"/>
    <x v="0"/>
  </r>
  <r>
    <s v="TX501322"/>
    <x v="0"/>
    <n v="2"/>
    <n v="29.6"/>
    <n v="59.2"/>
    <x v="50"/>
    <x v="56"/>
    <x v="0"/>
    <x v="0"/>
    <x v="0"/>
    <x v="0"/>
    <x v="1"/>
    <n v="2"/>
    <n v="8"/>
    <x v="0"/>
  </r>
  <r>
    <s v="TX501323"/>
    <x v="0"/>
    <n v="5"/>
    <n v="29.4"/>
    <n v="147"/>
    <x v="50"/>
    <x v="55"/>
    <x v="1"/>
    <x v="0"/>
    <x v="0"/>
    <x v="0"/>
    <x v="1"/>
    <n v="3"/>
    <n v="8"/>
    <x v="1"/>
  </r>
  <r>
    <s v="TX501324"/>
    <x v="1"/>
    <n v="2"/>
    <n v="40.6"/>
    <n v="81.2"/>
    <x v="50"/>
    <x v="47"/>
    <x v="0"/>
    <x v="0"/>
    <x v="4"/>
    <x v="0"/>
    <x v="2"/>
    <n v="1"/>
    <n v="8"/>
    <x v="0"/>
  </r>
  <r>
    <s v="TX501325"/>
    <x v="0"/>
    <n v="3"/>
    <n v="32.5"/>
    <n v="97.5"/>
    <x v="50"/>
    <x v="47"/>
    <x v="0"/>
    <x v="3"/>
    <x v="2"/>
    <x v="0"/>
    <x v="22"/>
    <n v="1"/>
    <n v="8"/>
    <x v="0"/>
  </r>
  <r>
    <s v="TX501326"/>
    <x v="15"/>
    <n v="1"/>
    <n v="26.2"/>
    <n v="26.2"/>
    <x v="50"/>
    <x v="56"/>
    <x v="0"/>
    <x v="2"/>
    <x v="0"/>
    <x v="0"/>
    <x v="55"/>
    <n v="2"/>
    <n v="8"/>
    <x v="0"/>
  </r>
  <r>
    <s v="TX501327"/>
    <x v="10"/>
    <n v="30"/>
    <n v="44"/>
    <n v="1320"/>
    <x v="50"/>
    <x v="52"/>
    <x v="0"/>
    <x v="4"/>
    <x v="0"/>
    <x v="0"/>
    <x v="3"/>
    <n v="6"/>
    <n v="8"/>
    <x v="0"/>
  </r>
  <r>
    <s v="TX501328"/>
    <x v="7"/>
    <n v="4"/>
    <n v="65.599999999999994"/>
    <n v="262.39999999999998"/>
    <x v="50"/>
    <x v="47"/>
    <x v="1"/>
    <x v="1"/>
    <x v="1"/>
    <x v="0"/>
    <x v="3"/>
    <n v="1"/>
    <n v="8"/>
    <x v="1"/>
  </r>
  <r>
    <s v="TX501329"/>
    <x v="5"/>
    <n v="12"/>
    <n v="32.6"/>
    <n v="391.20000000000005"/>
    <x v="50"/>
    <x v="47"/>
    <x v="0"/>
    <x v="4"/>
    <x v="0"/>
    <x v="0"/>
    <x v="3"/>
    <n v="1"/>
    <n v="8"/>
    <x v="0"/>
  </r>
  <r>
    <s v="TX501330"/>
    <x v="16"/>
    <n v="2"/>
    <n v="88.7"/>
    <n v="177.4"/>
    <x v="50"/>
    <x v="47"/>
    <x v="2"/>
    <x v="3"/>
    <x v="2"/>
    <x v="0"/>
    <x v="3"/>
    <n v="1"/>
    <n v="8"/>
    <x v="2"/>
  </r>
  <r>
    <s v="TX501331"/>
    <x v="4"/>
    <n v="2"/>
    <n v="21.3"/>
    <n v="42.6"/>
    <x v="50"/>
    <x v="47"/>
    <x v="0"/>
    <x v="0"/>
    <x v="0"/>
    <x v="0"/>
    <x v="3"/>
    <n v="1"/>
    <n v="8"/>
    <x v="0"/>
  </r>
  <r>
    <s v="TX501332"/>
    <x v="4"/>
    <n v="6"/>
    <n v="50.6"/>
    <n v="303.60000000000002"/>
    <x v="50"/>
    <x v="54"/>
    <x v="1"/>
    <x v="2"/>
    <x v="0"/>
    <x v="0"/>
    <x v="3"/>
    <n v="4"/>
    <n v="8"/>
    <x v="1"/>
  </r>
  <r>
    <s v="TX501333"/>
    <x v="9"/>
    <n v="21"/>
    <n v="86.9"/>
    <n v="1824.9"/>
    <x v="50"/>
    <x v="55"/>
    <x v="1"/>
    <x v="0"/>
    <x v="1"/>
    <x v="0"/>
    <x v="3"/>
    <n v="3"/>
    <n v="8"/>
    <x v="1"/>
  </r>
  <r>
    <s v="TX501334"/>
    <x v="11"/>
    <n v="3"/>
    <n v="31.8"/>
    <n v="95.4"/>
    <x v="50"/>
    <x v="56"/>
    <x v="0"/>
    <x v="0"/>
    <x v="2"/>
    <x v="0"/>
    <x v="3"/>
    <n v="2"/>
    <n v="8"/>
    <x v="0"/>
  </r>
  <r>
    <s v="TX501335"/>
    <x v="8"/>
    <n v="1"/>
    <n v="19"/>
    <n v="19"/>
    <x v="50"/>
    <x v="47"/>
    <x v="1"/>
    <x v="0"/>
    <x v="2"/>
    <x v="0"/>
    <x v="3"/>
    <n v="1"/>
    <n v="8"/>
    <x v="1"/>
  </r>
  <r>
    <s v="TX501336"/>
    <x v="5"/>
    <n v="1"/>
    <n v="54.5"/>
    <n v="54.5"/>
    <x v="50"/>
    <x v="56"/>
    <x v="0"/>
    <x v="0"/>
    <x v="0"/>
    <x v="0"/>
    <x v="3"/>
    <n v="2"/>
    <n v="8"/>
    <x v="0"/>
  </r>
  <r>
    <s v="TX501337"/>
    <x v="9"/>
    <n v="5"/>
    <n v="68.900000000000006"/>
    <n v="344.5"/>
    <x v="50"/>
    <x v="56"/>
    <x v="0"/>
    <x v="4"/>
    <x v="1"/>
    <x v="0"/>
    <x v="3"/>
    <n v="2"/>
    <n v="8"/>
    <x v="0"/>
  </r>
  <r>
    <s v="TX501338"/>
    <x v="6"/>
    <n v="3"/>
    <n v="84"/>
    <n v="252"/>
    <x v="50"/>
    <x v="47"/>
    <x v="0"/>
    <x v="1"/>
    <x v="4"/>
    <x v="0"/>
    <x v="16"/>
    <n v="1"/>
    <n v="8"/>
    <x v="0"/>
  </r>
  <r>
    <s v="TX501339"/>
    <x v="15"/>
    <n v="8"/>
    <n v="23.1"/>
    <n v="184.8"/>
    <x v="50"/>
    <x v="51"/>
    <x v="0"/>
    <x v="0"/>
    <x v="2"/>
    <x v="0"/>
    <x v="23"/>
    <n v="5"/>
    <n v="8"/>
    <x v="0"/>
  </r>
  <r>
    <s v="TX501340"/>
    <x v="7"/>
    <n v="2"/>
    <n v="62.4"/>
    <n v="124.8"/>
    <x v="50"/>
    <x v="47"/>
    <x v="1"/>
    <x v="0"/>
    <x v="1"/>
    <x v="0"/>
    <x v="6"/>
    <n v="1"/>
    <n v="8"/>
    <x v="1"/>
  </r>
  <r>
    <s v="TX501341"/>
    <x v="6"/>
    <n v="12"/>
    <n v="40.700000000000003"/>
    <n v="488.40000000000003"/>
    <x v="50"/>
    <x v="56"/>
    <x v="0"/>
    <x v="1"/>
    <x v="2"/>
    <x v="0"/>
    <x v="6"/>
    <n v="2"/>
    <n v="8"/>
    <x v="0"/>
  </r>
  <r>
    <s v="TX501342"/>
    <x v="6"/>
    <n v="1"/>
    <n v="49.6"/>
    <n v="49.6"/>
    <x v="50"/>
    <x v="55"/>
    <x v="0"/>
    <x v="2"/>
    <x v="0"/>
    <x v="0"/>
    <x v="7"/>
    <n v="3"/>
    <n v="8"/>
    <x v="0"/>
  </r>
  <r>
    <s v="TX501343"/>
    <x v="7"/>
    <n v="45"/>
    <n v="66.599999999999994"/>
    <n v="2996.9999999999995"/>
    <x v="50"/>
    <x v="55"/>
    <x v="0"/>
    <x v="2"/>
    <x v="0"/>
    <x v="0"/>
    <x v="8"/>
    <n v="3"/>
    <n v="8"/>
    <x v="0"/>
  </r>
  <r>
    <s v="TX501344"/>
    <x v="8"/>
    <n v="3"/>
    <n v="26.4"/>
    <n v="79.199999999999989"/>
    <x v="50"/>
    <x v="47"/>
    <x v="1"/>
    <x v="1"/>
    <x v="1"/>
    <x v="0"/>
    <x v="8"/>
    <n v="1"/>
    <n v="8"/>
    <x v="1"/>
  </r>
  <r>
    <s v="TX501345"/>
    <x v="0"/>
    <n v="2"/>
    <n v="17.2"/>
    <n v="34.4"/>
    <x v="50"/>
    <x v="55"/>
    <x v="0"/>
    <x v="2"/>
    <x v="1"/>
    <x v="0"/>
    <x v="8"/>
    <n v="3"/>
    <n v="8"/>
    <x v="0"/>
  </r>
  <r>
    <s v="TX501346"/>
    <x v="5"/>
    <n v="8"/>
    <n v="58.1"/>
    <n v="464.8"/>
    <x v="50"/>
    <x v="55"/>
    <x v="1"/>
    <x v="4"/>
    <x v="0"/>
    <x v="0"/>
    <x v="8"/>
    <n v="3"/>
    <n v="8"/>
    <x v="1"/>
  </r>
  <r>
    <s v="TX501347"/>
    <x v="15"/>
    <n v="4"/>
    <n v="31.5"/>
    <n v="126"/>
    <x v="50"/>
    <x v="55"/>
    <x v="1"/>
    <x v="4"/>
    <x v="4"/>
    <x v="0"/>
    <x v="8"/>
    <n v="3"/>
    <n v="8"/>
    <x v="1"/>
  </r>
  <r>
    <s v="TX501348"/>
    <x v="0"/>
    <n v="1"/>
    <n v="27.1"/>
    <n v="27.1"/>
    <x v="50"/>
    <x v="56"/>
    <x v="1"/>
    <x v="0"/>
    <x v="1"/>
    <x v="0"/>
    <x v="17"/>
    <n v="2"/>
    <n v="8"/>
    <x v="1"/>
  </r>
  <r>
    <s v="TX501349"/>
    <x v="18"/>
    <n v="4"/>
    <n v="28.5"/>
    <n v="114"/>
    <x v="50"/>
    <x v="56"/>
    <x v="0"/>
    <x v="1"/>
    <x v="2"/>
    <x v="0"/>
    <x v="9"/>
    <n v="2"/>
    <n v="8"/>
    <x v="0"/>
  </r>
  <r>
    <s v="TX501350"/>
    <x v="10"/>
    <n v="1"/>
    <n v="40.5"/>
    <n v="40.5"/>
    <x v="51"/>
    <x v="55"/>
    <x v="3"/>
    <x v="2"/>
    <x v="0"/>
    <x v="0"/>
    <x v="9"/>
    <n v="2"/>
    <n v="8"/>
    <x v="3"/>
  </r>
  <r>
    <s v="TX501351"/>
    <x v="2"/>
    <n v="3"/>
    <n v="77.900000000000006"/>
    <n v="233.70000000000002"/>
    <x v="51"/>
    <x v="51"/>
    <x v="1"/>
    <x v="1"/>
    <x v="2"/>
    <x v="0"/>
    <x v="19"/>
    <n v="4"/>
    <n v="8"/>
    <x v="1"/>
  </r>
  <r>
    <s v="TX501352"/>
    <x v="18"/>
    <n v="4"/>
    <n v="37.1"/>
    <n v="148.4"/>
    <x v="51"/>
    <x v="55"/>
    <x v="0"/>
    <x v="4"/>
    <x v="2"/>
    <x v="0"/>
    <x v="19"/>
    <n v="2"/>
    <n v="8"/>
    <x v="0"/>
  </r>
  <r>
    <s v="TX501353"/>
    <x v="16"/>
    <n v="3"/>
    <n v="51.6"/>
    <n v="154.80000000000001"/>
    <x v="51"/>
    <x v="59"/>
    <x v="1"/>
    <x v="0"/>
    <x v="4"/>
    <x v="0"/>
    <x v="19"/>
    <n v="8"/>
    <n v="8"/>
    <x v="1"/>
  </r>
  <r>
    <s v="TX501354"/>
    <x v="7"/>
    <n v="3"/>
    <n v="98"/>
    <n v="294"/>
    <x v="51"/>
    <x v="56"/>
    <x v="0"/>
    <x v="1"/>
    <x v="1"/>
    <x v="0"/>
    <x v="19"/>
    <n v="1"/>
    <n v="8"/>
    <x v="0"/>
  </r>
  <r>
    <s v="TX501355"/>
    <x v="6"/>
    <n v="7"/>
    <n v="41.4"/>
    <n v="289.8"/>
    <x v="51"/>
    <x v="56"/>
    <x v="0"/>
    <x v="1"/>
    <x v="0"/>
    <x v="0"/>
    <x v="20"/>
    <n v="1"/>
    <n v="8"/>
    <x v="0"/>
  </r>
  <r>
    <s v="TX501356"/>
    <x v="11"/>
    <n v="8"/>
    <n v="34"/>
    <n v="272"/>
    <x v="51"/>
    <x v="52"/>
    <x v="1"/>
    <x v="0"/>
    <x v="2"/>
    <x v="0"/>
    <x v="52"/>
    <n v="5"/>
    <n v="8"/>
    <x v="1"/>
  </r>
  <r>
    <s v="TX501357"/>
    <x v="6"/>
    <n v="1"/>
    <n v="66.3"/>
    <n v="66.3"/>
    <x v="51"/>
    <x v="56"/>
    <x v="1"/>
    <x v="1"/>
    <x v="0"/>
    <x v="0"/>
    <x v="13"/>
    <n v="1"/>
    <n v="8"/>
    <x v="1"/>
  </r>
  <r>
    <s v="TX501358"/>
    <x v="7"/>
    <n v="1"/>
    <n v="33.5"/>
    <n v="33.5"/>
    <x v="51"/>
    <x v="51"/>
    <x v="0"/>
    <x v="2"/>
    <x v="0"/>
    <x v="0"/>
    <x v="13"/>
    <n v="4"/>
    <n v="8"/>
    <x v="0"/>
  </r>
  <r>
    <s v="TX501359"/>
    <x v="12"/>
    <n v="2"/>
    <n v="70.8"/>
    <n v="141.6"/>
    <x v="51"/>
    <x v="56"/>
    <x v="2"/>
    <x v="0"/>
    <x v="0"/>
    <x v="0"/>
    <x v="28"/>
    <n v="1"/>
    <n v="8"/>
    <x v="2"/>
  </r>
  <r>
    <s v="TX501360"/>
    <x v="6"/>
    <n v="2"/>
    <n v="127.6"/>
    <n v="255.2"/>
    <x v="51"/>
    <x v="56"/>
    <x v="0"/>
    <x v="0"/>
    <x v="0"/>
    <x v="0"/>
    <x v="21"/>
    <n v="1"/>
    <n v="8"/>
    <x v="0"/>
  </r>
  <r>
    <s v="TX501361"/>
    <x v="6"/>
    <n v="3"/>
    <n v="95.9"/>
    <n v="287.70000000000005"/>
    <x v="51"/>
    <x v="56"/>
    <x v="1"/>
    <x v="1"/>
    <x v="1"/>
    <x v="0"/>
    <x v="21"/>
    <n v="1"/>
    <n v="8"/>
    <x v="1"/>
  </r>
  <r>
    <s v="TX501362"/>
    <x v="2"/>
    <n v="2"/>
    <n v="78.099999999999994"/>
    <n v="156.19999999999999"/>
    <x v="51"/>
    <x v="56"/>
    <x v="0"/>
    <x v="0"/>
    <x v="0"/>
    <x v="0"/>
    <x v="1"/>
    <n v="1"/>
    <n v="8"/>
    <x v="0"/>
  </r>
  <r>
    <s v="TX501363"/>
    <x v="13"/>
    <n v="2"/>
    <n v="43.2"/>
    <n v="86.4"/>
    <x v="51"/>
    <x v="56"/>
    <x v="2"/>
    <x v="1"/>
    <x v="1"/>
    <x v="0"/>
    <x v="1"/>
    <n v="1"/>
    <n v="8"/>
    <x v="2"/>
  </r>
  <r>
    <s v="TX501364"/>
    <x v="8"/>
    <n v="4"/>
    <n v="28.4"/>
    <n v="113.6"/>
    <x v="51"/>
    <x v="53"/>
    <x v="0"/>
    <x v="2"/>
    <x v="0"/>
    <x v="0"/>
    <x v="3"/>
    <n v="6"/>
    <n v="8"/>
    <x v="0"/>
  </r>
  <r>
    <s v="TX501365"/>
    <x v="2"/>
    <n v="2"/>
    <n v="81.7"/>
    <n v="163.4"/>
    <x v="51"/>
    <x v="47"/>
    <x v="0"/>
    <x v="0"/>
    <x v="0"/>
    <x v="0"/>
    <x v="3"/>
    <n v="0"/>
    <n v="8"/>
    <x v="0"/>
  </r>
  <r>
    <s v="TX501366"/>
    <x v="18"/>
    <n v="2"/>
    <n v="56.7"/>
    <n v="113.4"/>
    <x v="51"/>
    <x v="55"/>
    <x v="2"/>
    <x v="0"/>
    <x v="2"/>
    <x v="0"/>
    <x v="3"/>
    <n v="2"/>
    <n v="8"/>
    <x v="2"/>
  </r>
  <r>
    <s v="TX501367"/>
    <x v="3"/>
    <n v="4"/>
    <n v="66.5"/>
    <n v="266"/>
    <x v="51"/>
    <x v="47"/>
    <x v="1"/>
    <x v="0"/>
    <x v="2"/>
    <x v="0"/>
    <x v="3"/>
    <n v="0"/>
    <n v="8"/>
    <x v="1"/>
  </r>
  <r>
    <s v="TX501368"/>
    <x v="1"/>
    <n v="2"/>
    <n v="105.3"/>
    <n v="210.6"/>
    <x v="51"/>
    <x v="51"/>
    <x v="0"/>
    <x v="0"/>
    <x v="1"/>
    <x v="0"/>
    <x v="3"/>
    <n v="4"/>
    <n v="8"/>
    <x v="0"/>
  </r>
  <r>
    <s v="TX501369"/>
    <x v="10"/>
    <n v="5"/>
    <n v="33.799999999999997"/>
    <n v="169"/>
    <x v="51"/>
    <x v="52"/>
    <x v="0"/>
    <x v="0"/>
    <x v="0"/>
    <x v="0"/>
    <x v="3"/>
    <n v="5"/>
    <n v="8"/>
    <x v="0"/>
  </r>
  <r>
    <s v="TX501370"/>
    <x v="6"/>
    <n v="3"/>
    <n v="63.4"/>
    <n v="190.2"/>
    <x v="51"/>
    <x v="52"/>
    <x v="0"/>
    <x v="3"/>
    <x v="1"/>
    <x v="0"/>
    <x v="24"/>
    <n v="5"/>
    <n v="8"/>
    <x v="0"/>
  </r>
  <r>
    <s v="TX501371"/>
    <x v="6"/>
    <n v="3"/>
    <n v="49"/>
    <n v="147"/>
    <x v="51"/>
    <x v="51"/>
    <x v="0"/>
    <x v="3"/>
    <x v="0"/>
    <x v="0"/>
    <x v="49"/>
    <n v="4"/>
    <n v="8"/>
    <x v="0"/>
  </r>
  <r>
    <s v="TX501372"/>
    <x v="1"/>
    <n v="2"/>
    <n v="40"/>
    <n v="80"/>
    <x v="51"/>
    <x v="56"/>
    <x v="1"/>
    <x v="4"/>
    <x v="1"/>
    <x v="0"/>
    <x v="23"/>
    <n v="1"/>
    <n v="8"/>
    <x v="1"/>
  </r>
  <r>
    <s v="TX501373"/>
    <x v="6"/>
    <n v="4"/>
    <n v="86.3"/>
    <n v="345.2"/>
    <x v="51"/>
    <x v="56"/>
    <x v="3"/>
    <x v="0"/>
    <x v="0"/>
    <x v="0"/>
    <x v="6"/>
    <n v="1"/>
    <n v="8"/>
    <x v="3"/>
  </r>
  <r>
    <s v="TX501374"/>
    <x v="6"/>
    <n v="1"/>
    <n v="51.6"/>
    <n v="51.6"/>
    <x v="51"/>
    <x v="55"/>
    <x v="1"/>
    <x v="2"/>
    <x v="2"/>
    <x v="0"/>
    <x v="6"/>
    <n v="2"/>
    <n v="8"/>
    <x v="1"/>
  </r>
  <r>
    <s v="TX501375"/>
    <x v="10"/>
    <n v="3"/>
    <n v="26.7"/>
    <n v="80.099999999999994"/>
    <x v="51"/>
    <x v="52"/>
    <x v="1"/>
    <x v="2"/>
    <x v="1"/>
    <x v="0"/>
    <x v="6"/>
    <n v="5"/>
    <n v="8"/>
    <x v="1"/>
  </r>
  <r>
    <s v="TX501376"/>
    <x v="18"/>
    <n v="2"/>
    <n v="68.099999999999994"/>
    <n v="136.19999999999999"/>
    <x v="51"/>
    <x v="56"/>
    <x v="0"/>
    <x v="0"/>
    <x v="1"/>
    <x v="0"/>
    <x v="6"/>
    <n v="1"/>
    <n v="8"/>
    <x v="0"/>
  </r>
  <r>
    <s v="TX501377"/>
    <x v="1"/>
    <n v="1"/>
    <n v="81.7"/>
    <n v="81.7"/>
    <x v="51"/>
    <x v="56"/>
    <x v="0"/>
    <x v="0"/>
    <x v="0"/>
    <x v="0"/>
    <x v="7"/>
    <n v="1"/>
    <n v="8"/>
    <x v="0"/>
  </r>
  <r>
    <s v="TX501378"/>
    <x v="18"/>
    <n v="10"/>
    <n v="25.1"/>
    <n v="251"/>
    <x v="51"/>
    <x v="54"/>
    <x v="0"/>
    <x v="3"/>
    <x v="1"/>
    <x v="0"/>
    <x v="8"/>
    <n v="3"/>
    <n v="8"/>
    <x v="0"/>
  </r>
  <r>
    <s v="TX501379"/>
    <x v="8"/>
    <n v="1"/>
    <n v="20.2"/>
    <n v="20.2"/>
    <x v="51"/>
    <x v="51"/>
    <x v="1"/>
    <x v="0"/>
    <x v="0"/>
    <x v="0"/>
    <x v="8"/>
    <n v="4"/>
    <n v="8"/>
    <x v="1"/>
  </r>
  <r>
    <s v="TX501380"/>
    <x v="8"/>
    <n v="3"/>
    <n v="15.4"/>
    <n v="46.2"/>
    <x v="51"/>
    <x v="56"/>
    <x v="0"/>
    <x v="1"/>
    <x v="2"/>
    <x v="0"/>
    <x v="8"/>
    <n v="1"/>
    <n v="8"/>
    <x v="0"/>
  </r>
  <r>
    <s v="TX501381"/>
    <x v="10"/>
    <n v="1"/>
    <n v="59.2"/>
    <n v="59.2"/>
    <x v="51"/>
    <x v="56"/>
    <x v="0"/>
    <x v="2"/>
    <x v="2"/>
    <x v="0"/>
    <x v="17"/>
    <n v="1"/>
    <n v="8"/>
    <x v="0"/>
  </r>
  <r>
    <s v="TX501382"/>
    <x v="0"/>
    <n v="1"/>
    <n v="46.7"/>
    <n v="46.7"/>
    <x v="51"/>
    <x v="52"/>
    <x v="0"/>
    <x v="0"/>
    <x v="0"/>
    <x v="0"/>
    <x v="17"/>
    <n v="5"/>
    <n v="8"/>
    <x v="0"/>
  </r>
  <r>
    <s v="TX501383"/>
    <x v="6"/>
    <n v="15"/>
    <n v="41.6"/>
    <n v="624"/>
    <x v="51"/>
    <x v="55"/>
    <x v="0"/>
    <x v="1"/>
    <x v="0"/>
    <x v="0"/>
    <x v="26"/>
    <n v="2"/>
    <n v="8"/>
    <x v="0"/>
  </r>
  <r>
    <s v="TX501384"/>
    <x v="8"/>
    <n v="2"/>
    <n v="19.2"/>
    <n v="38.4"/>
    <x v="51"/>
    <x v="54"/>
    <x v="0"/>
    <x v="4"/>
    <x v="2"/>
    <x v="0"/>
    <x v="9"/>
    <n v="3"/>
    <n v="8"/>
    <x v="0"/>
  </r>
  <r>
    <s v="TX501385"/>
    <x v="17"/>
    <n v="7"/>
    <n v="41.8"/>
    <n v="292.59999999999997"/>
    <x v="51"/>
    <x v="55"/>
    <x v="1"/>
    <x v="2"/>
    <x v="0"/>
    <x v="0"/>
    <x v="11"/>
    <n v="2"/>
    <n v="8"/>
    <x v="1"/>
  </r>
  <r>
    <s v="TX501386"/>
    <x v="8"/>
    <n v="6"/>
    <n v="37.4"/>
    <n v="224.39999999999998"/>
    <x v="51"/>
    <x v="55"/>
    <x v="0"/>
    <x v="0"/>
    <x v="2"/>
    <x v="0"/>
    <x v="11"/>
    <n v="2"/>
    <n v="8"/>
    <x v="0"/>
  </r>
  <r>
    <s v="TX501387"/>
    <x v="10"/>
    <n v="3"/>
    <n v="60.2"/>
    <n v="180.60000000000002"/>
    <x v="51"/>
    <x v="54"/>
    <x v="0"/>
    <x v="4"/>
    <x v="1"/>
    <x v="0"/>
    <x v="38"/>
    <n v="3"/>
    <n v="8"/>
    <x v="0"/>
  </r>
  <r>
    <s v="TX501388"/>
    <x v="9"/>
    <n v="2"/>
    <n v="91.5"/>
    <n v="183"/>
    <x v="52"/>
    <x v="55"/>
    <x v="0"/>
    <x v="0"/>
    <x v="0"/>
    <x v="0"/>
    <x v="13"/>
    <n v="1"/>
    <n v="8"/>
    <x v="0"/>
  </r>
  <r>
    <s v="TX501389"/>
    <x v="3"/>
    <n v="5"/>
    <n v="55.7"/>
    <n v="278.5"/>
    <x v="52"/>
    <x v="54"/>
    <x v="2"/>
    <x v="1"/>
    <x v="2"/>
    <x v="0"/>
    <x v="21"/>
    <n v="2"/>
    <n v="8"/>
    <x v="2"/>
  </r>
  <r>
    <s v="TX501390"/>
    <x v="7"/>
    <n v="2"/>
    <n v="76.7"/>
    <n v="153.4"/>
    <x v="52"/>
    <x v="54"/>
    <x v="0"/>
    <x v="0"/>
    <x v="1"/>
    <x v="0"/>
    <x v="21"/>
    <n v="2"/>
    <n v="8"/>
    <x v="0"/>
  </r>
  <r>
    <s v="TX501391"/>
    <x v="8"/>
    <n v="21"/>
    <n v="28.2"/>
    <n v="592.19999999999993"/>
    <x v="52"/>
    <x v="53"/>
    <x v="0"/>
    <x v="2"/>
    <x v="0"/>
    <x v="0"/>
    <x v="1"/>
    <n v="5"/>
    <n v="8"/>
    <x v="0"/>
  </r>
  <r>
    <s v="TX501392"/>
    <x v="7"/>
    <n v="5"/>
    <n v="93.2"/>
    <n v="466"/>
    <x v="52"/>
    <x v="54"/>
    <x v="1"/>
    <x v="4"/>
    <x v="2"/>
    <x v="0"/>
    <x v="1"/>
    <n v="2"/>
    <n v="8"/>
    <x v="1"/>
  </r>
  <r>
    <s v="TX501393"/>
    <x v="17"/>
    <n v="1"/>
    <n v="33.299999999999997"/>
    <n v="33.299999999999997"/>
    <x v="52"/>
    <x v="55"/>
    <x v="0"/>
    <x v="4"/>
    <x v="0"/>
    <x v="0"/>
    <x v="2"/>
    <n v="1"/>
    <n v="8"/>
    <x v="0"/>
  </r>
  <r>
    <s v="TX501394"/>
    <x v="10"/>
    <n v="2"/>
    <n v="39.1"/>
    <n v="78.2"/>
    <x v="52"/>
    <x v="51"/>
    <x v="0"/>
    <x v="0"/>
    <x v="0"/>
    <x v="0"/>
    <x v="44"/>
    <n v="3"/>
    <n v="8"/>
    <x v="0"/>
  </r>
  <r>
    <s v="TX501395"/>
    <x v="7"/>
    <n v="12"/>
    <n v="45.3"/>
    <n v="543.59999999999991"/>
    <x v="52"/>
    <x v="55"/>
    <x v="0"/>
    <x v="2"/>
    <x v="0"/>
    <x v="0"/>
    <x v="33"/>
    <n v="1"/>
    <n v="8"/>
    <x v="0"/>
  </r>
  <r>
    <s v="TX501396"/>
    <x v="9"/>
    <n v="7"/>
    <n v="33.9"/>
    <n v="237.29999999999998"/>
    <x v="52"/>
    <x v="55"/>
    <x v="0"/>
    <x v="4"/>
    <x v="0"/>
    <x v="0"/>
    <x v="33"/>
    <n v="1"/>
    <n v="8"/>
    <x v="0"/>
  </r>
  <r>
    <s v="TX501397"/>
    <x v="8"/>
    <n v="3"/>
    <n v="19"/>
    <n v="57"/>
    <x v="52"/>
    <x v="55"/>
    <x v="0"/>
    <x v="0"/>
    <x v="2"/>
    <x v="0"/>
    <x v="15"/>
    <n v="1"/>
    <n v="8"/>
    <x v="0"/>
  </r>
  <r>
    <s v="TX501398"/>
    <x v="4"/>
    <n v="1"/>
    <n v="41.9"/>
    <n v="41.9"/>
    <x v="52"/>
    <x v="51"/>
    <x v="1"/>
    <x v="2"/>
    <x v="0"/>
    <x v="0"/>
    <x v="22"/>
    <n v="3"/>
    <n v="8"/>
    <x v="1"/>
  </r>
  <r>
    <s v="TX501399"/>
    <x v="1"/>
    <n v="4"/>
    <n v="37.5"/>
    <n v="150"/>
    <x v="52"/>
    <x v="56"/>
    <x v="1"/>
    <x v="0"/>
    <x v="0"/>
    <x v="0"/>
    <x v="3"/>
    <n v="0"/>
    <n v="8"/>
    <x v="1"/>
  </r>
  <r>
    <s v="TX501400"/>
    <x v="0"/>
    <n v="2"/>
    <n v="40.799999999999997"/>
    <n v="81.599999999999994"/>
    <x v="52"/>
    <x v="51"/>
    <x v="0"/>
    <x v="0"/>
    <x v="0"/>
    <x v="0"/>
    <x v="3"/>
    <n v="3"/>
    <n v="8"/>
    <x v="0"/>
  </r>
  <r>
    <s v="TX501401"/>
    <x v="0"/>
    <n v="4"/>
    <n v="23.1"/>
    <n v="92.4"/>
    <x v="52"/>
    <x v="55"/>
    <x v="1"/>
    <x v="4"/>
    <x v="0"/>
    <x v="0"/>
    <x v="3"/>
    <n v="1"/>
    <n v="8"/>
    <x v="1"/>
  </r>
  <r>
    <s v="TX501402"/>
    <x v="8"/>
    <n v="5"/>
    <n v="39.299999999999997"/>
    <n v="196.5"/>
    <x v="52"/>
    <x v="55"/>
    <x v="1"/>
    <x v="0"/>
    <x v="0"/>
    <x v="0"/>
    <x v="3"/>
    <n v="1"/>
    <n v="8"/>
    <x v="1"/>
  </r>
  <r>
    <s v="TX501403"/>
    <x v="2"/>
    <n v="4"/>
    <n v="85.2"/>
    <n v="340.8"/>
    <x v="52"/>
    <x v="53"/>
    <x v="0"/>
    <x v="2"/>
    <x v="0"/>
    <x v="0"/>
    <x v="3"/>
    <n v="5"/>
    <n v="8"/>
    <x v="0"/>
  </r>
  <r>
    <s v="TX501404"/>
    <x v="8"/>
    <n v="6"/>
    <n v="16"/>
    <n v="96"/>
    <x v="52"/>
    <x v="51"/>
    <x v="0"/>
    <x v="1"/>
    <x v="0"/>
    <x v="0"/>
    <x v="3"/>
    <n v="3"/>
    <n v="8"/>
    <x v="0"/>
  </r>
  <r>
    <s v="TX501405"/>
    <x v="1"/>
    <n v="2"/>
    <n v="33.799999999999997"/>
    <n v="67.599999999999994"/>
    <x v="52"/>
    <x v="52"/>
    <x v="1"/>
    <x v="1"/>
    <x v="0"/>
    <x v="0"/>
    <x v="3"/>
    <n v="4"/>
    <n v="8"/>
    <x v="1"/>
  </r>
  <r>
    <s v="TX501406"/>
    <x v="3"/>
    <n v="1"/>
    <n v="70"/>
    <n v="70"/>
    <x v="52"/>
    <x v="55"/>
    <x v="1"/>
    <x v="0"/>
    <x v="0"/>
    <x v="0"/>
    <x v="3"/>
    <n v="1"/>
    <n v="8"/>
    <x v="1"/>
  </r>
  <r>
    <s v="TX501407"/>
    <x v="9"/>
    <n v="1"/>
    <n v="88"/>
    <n v="88"/>
    <x v="52"/>
    <x v="53"/>
    <x v="1"/>
    <x v="3"/>
    <x v="0"/>
    <x v="0"/>
    <x v="3"/>
    <n v="5"/>
    <n v="8"/>
    <x v="1"/>
  </r>
  <r>
    <s v="TX501408"/>
    <x v="2"/>
    <n v="3"/>
    <n v="74.099999999999994"/>
    <n v="222.29999999999998"/>
    <x v="52"/>
    <x v="56"/>
    <x v="0"/>
    <x v="4"/>
    <x v="1"/>
    <x v="0"/>
    <x v="3"/>
    <n v="0"/>
    <n v="8"/>
    <x v="0"/>
  </r>
  <r>
    <s v="TX501409"/>
    <x v="2"/>
    <n v="1"/>
    <n v="161.9"/>
    <n v="161.9"/>
    <x v="52"/>
    <x v="54"/>
    <x v="0"/>
    <x v="2"/>
    <x v="0"/>
    <x v="0"/>
    <x v="3"/>
    <n v="2"/>
    <n v="8"/>
    <x v="0"/>
  </r>
  <r>
    <s v="TX501410"/>
    <x v="4"/>
    <n v="2"/>
    <n v="44"/>
    <n v="88"/>
    <x v="52"/>
    <x v="55"/>
    <x v="3"/>
    <x v="4"/>
    <x v="1"/>
    <x v="0"/>
    <x v="3"/>
    <n v="1"/>
    <n v="8"/>
    <x v="3"/>
  </r>
  <r>
    <s v="TX501411"/>
    <x v="11"/>
    <n v="1"/>
    <n v="32.1"/>
    <n v="32.1"/>
    <x v="52"/>
    <x v="56"/>
    <x v="1"/>
    <x v="3"/>
    <x v="3"/>
    <x v="0"/>
    <x v="3"/>
    <n v="0"/>
    <n v="8"/>
    <x v="1"/>
  </r>
  <r>
    <s v="TX501412"/>
    <x v="2"/>
    <n v="4"/>
    <n v="104.8"/>
    <n v="419.2"/>
    <x v="53"/>
    <x v="51"/>
    <x v="3"/>
    <x v="0"/>
    <x v="0"/>
    <x v="0"/>
    <x v="3"/>
    <n v="2"/>
    <n v="9"/>
    <x v="3"/>
  </r>
  <r>
    <s v="TX501413"/>
    <x v="9"/>
    <n v="6"/>
    <n v="67.400000000000006"/>
    <n v="404.40000000000003"/>
    <x v="53"/>
    <x v="54"/>
    <x v="1"/>
    <x v="3"/>
    <x v="0"/>
    <x v="0"/>
    <x v="3"/>
    <n v="1"/>
    <n v="9"/>
    <x v="1"/>
  </r>
  <r>
    <s v="TX501414"/>
    <x v="6"/>
    <n v="2"/>
    <n v="115.2"/>
    <n v="230.4"/>
    <x v="53"/>
    <x v="54"/>
    <x v="1"/>
    <x v="1"/>
    <x v="0"/>
    <x v="0"/>
    <x v="4"/>
    <n v="1"/>
    <n v="9"/>
    <x v="1"/>
  </r>
  <r>
    <s v="TX501415"/>
    <x v="8"/>
    <n v="29"/>
    <n v="15.5"/>
    <n v="449.5"/>
    <x v="53"/>
    <x v="51"/>
    <x v="1"/>
    <x v="0"/>
    <x v="1"/>
    <x v="0"/>
    <x v="23"/>
    <n v="2"/>
    <n v="9"/>
    <x v="1"/>
  </r>
  <r>
    <s v="TX501416"/>
    <x v="6"/>
    <n v="11"/>
    <n v="66.400000000000006"/>
    <n v="730.40000000000009"/>
    <x v="53"/>
    <x v="51"/>
    <x v="1"/>
    <x v="0"/>
    <x v="0"/>
    <x v="0"/>
    <x v="6"/>
    <n v="2"/>
    <n v="9"/>
    <x v="1"/>
  </r>
  <r>
    <s v="TX501417"/>
    <x v="9"/>
    <n v="12"/>
    <n v="68.099999999999994"/>
    <n v="817.19999999999993"/>
    <x v="53"/>
    <x v="54"/>
    <x v="1"/>
    <x v="2"/>
    <x v="0"/>
    <x v="0"/>
    <x v="8"/>
    <n v="1"/>
    <n v="9"/>
    <x v="1"/>
  </r>
  <r>
    <s v="TX501418"/>
    <x v="8"/>
    <n v="5"/>
    <n v="32.5"/>
    <n v="162.5"/>
    <x v="53"/>
    <x v="53"/>
    <x v="0"/>
    <x v="2"/>
    <x v="1"/>
    <x v="0"/>
    <x v="8"/>
    <n v="4"/>
    <n v="9"/>
    <x v="0"/>
  </r>
  <r>
    <s v="TX501419"/>
    <x v="15"/>
    <n v="3"/>
    <n v="61.2"/>
    <n v="183.60000000000002"/>
    <x v="53"/>
    <x v="51"/>
    <x v="1"/>
    <x v="1"/>
    <x v="1"/>
    <x v="0"/>
    <x v="8"/>
    <n v="2"/>
    <n v="9"/>
    <x v="1"/>
  </r>
  <r>
    <s v="TX501420"/>
    <x v="9"/>
    <n v="2"/>
    <n v="54.2"/>
    <n v="108.4"/>
    <x v="53"/>
    <x v="54"/>
    <x v="1"/>
    <x v="1"/>
    <x v="0"/>
    <x v="0"/>
    <x v="8"/>
    <n v="1"/>
    <n v="9"/>
    <x v="1"/>
  </r>
  <r>
    <s v="TX501421"/>
    <x v="11"/>
    <n v="8"/>
    <n v="28.7"/>
    <n v="229.6"/>
    <x v="53"/>
    <x v="51"/>
    <x v="0"/>
    <x v="1"/>
    <x v="0"/>
    <x v="0"/>
    <x v="9"/>
    <n v="2"/>
    <n v="9"/>
    <x v="0"/>
  </r>
  <r>
    <s v="TX501422"/>
    <x v="12"/>
    <n v="6"/>
    <n v="38.200000000000003"/>
    <n v="229.20000000000002"/>
    <x v="53"/>
    <x v="53"/>
    <x v="1"/>
    <x v="0"/>
    <x v="1"/>
    <x v="0"/>
    <x v="9"/>
    <n v="4"/>
    <n v="9"/>
    <x v="1"/>
  </r>
  <r>
    <s v="TX501423"/>
    <x v="8"/>
    <n v="12"/>
    <n v="17.600000000000001"/>
    <n v="211.20000000000002"/>
    <x v="53"/>
    <x v="54"/>
    <x v="1"/>
    <x v="2"/>
    <x v="1"/>
    <x v="0"/>
    <x v="9"/>
    <n v="1"/>
    <n v="9"/>
    <x v="1"/>
  </r>
  <r>
    <s v="TX501424"/>
    <x v="10"/>
    <n v="3"/>
    <n v="74.599999999999994"/>
    <n v="223.79999999999998"/>
    <x v="53"/>
    <x v="55"/>
    <x v="1"/>
    <x v="2"/>
    <x v="0"/>
    <x v="0"/>
    <x v="11"/>
    <n v="0"/>
    <n v="9"/>
    <x v="1"/>
  </r>
  <r>
    <s v="TX501425"/>
    <x v="16"/>
    <n v="15"/>
    <n v="72.599999999999994"/>
    <n v="1089"/>
    <x v="53"/>
    <x v="55"/>
    <x v="2"/>
    <x v="1"/>
    <x v="1"/>
    <x v="0"/>
    <x v="11"/>
    <n v="0"/>
    <n v="9"/>
    <x v="2"/>
  </r>
  <r>
    <s v="TX501426"/>
    <x v="7"/>
    <n v="1"/>
    <n v="62.3"/>
    <n v="62.3"/>
    <x v="53"/>
    <x v="54"/>
    <x v="1"/>
    <x v="1"/>
    <x v="0"/>
    <x v="0"/>
    <x v="11"/>
    <n v="1"/>
    <n v="9"/>
    <x v="1"/>
  </r>
  <r>
    <s v="TX501427"/>
    <x v="3"/>
    <n v="3"/>
    <n v="33.799999999999997"/>
    <n v="101.39999999999999"/>
    <x v="53"/>
    <x v="51"/>
    <x v="0"/>
    <x v="0"/>
    <x v="2"/>
    <x v="0"/>
    <x v="20"/>
    <n v="2"/>
    <n v="9"/>
    <x v="0"/>
  </r>
  <r>
    <s v="TX501428"/>
    <x v="9"/>
    <n v="1"/>
    <n v="85.7"/>
    <n v="85.7"/>
    <x v="53"/>
    <x v="52"/>
    <x v="0"/>
    <x v="3"/>
    <x v="1"/>
    <x v="0"/>
    <x v="21"/>
    <n v="3"/>
    <n v="9"/>
    <x v="0"/>
  </r>
  <r>
    <s v="TX501429"/>
    <x v="6"/>
    <n v="2"/>
    <n v="92.1"/>
    <n v="184.2"/>
    <x v="53"/>
    <x v="51"/>
    <x v="0"/>
    <x v="1"/>
    <x v="0"/>
    <x v="0"/>
    <x v="21"/>
    <n v="2"/>
    <n v="9"/>
    <x v="0"/>
  </r>
  <r>
    <s v="TX501430"/>
    <x v="16"/>
    <n v="3"/>
    <n v="65.099999999999994"/>
    <n v="195.29999999999998"/>
    <x v="53"/>
    <x v="52"/>
    <x v="0"/>
    <x v="0"/>
    <x v="0"/>
    <x v="0"/>
    <x v="1"/>
    <n v="3"/>
    <n v="9"/>
    <x v="0"/>
  </r>
  <r>
    <s v="TX501431"/>
    <x v="9"/>
    <n v="7"/>
    <n v="20.3"/>
    <n v="142.1"/>
    <x v="53"/>
    <x v="54"/>
    <x v="1"/>
    <x v="2"/>
    <x v="2"/>
    <x v="0"/>
    <x v="2"/>
    <n v="1"/>
    <n v="9"/>
    <x v="1"/>
  </r>
  <r>
    <s v="TX501432"/>
    <x v="19"/>
    <n v="2"/>
    <n v="29.8"/>
    <n v="59.6"/>
    <x v="53"/>
    <x v="51"/>
    <x v="1"/>
    <x v="1"/>
    <x v="2"/>
    <x v="0"/>
    <x v="34"/>
    <n v="2"/>
    <n v="9"/>
    <x v="1"/>
  </r>
  <r>
    <s v="TX501433"/>
    <x v="0"/>
    <n v="2"/>
    <n v="24.2"/>
    <n v="48.4"/>
    <x v="53"/>
    <x v="51"/>
    <x v="1"/>
    <x v="3"/>
    <x v="2"/>
    <x v="0"/>
    <x v="3"/>
    <n v="2"/>
    <n v="9"/>
    <x v="1"/>
  </r>
  <r>
    <s v="TX501434"/>
    <x v="3"/>
    <n v="1"/>
    <n v="57.3"/>
    <n v="57.3"/>
    <x v="53"/>
    <x v="51"/>
    <x v="0"/>
    <x v="0"/>
    <x v="0"/>
    <x v="0"/>
    <x v="3"/>
    <n v="2"/>
    <n v="9"/>
    <x v="0"/>
  </r>
  <r>
    <s v="TX501435"/>
    <x v="2"/>
    <n v="1"/>
    <n v="108.9"/>
    <n v="108.9"/>
    <x v="53"/>
    <x v="51"/>
    <x v="1"/>
    <x v="1"/>
    <x v="0"/>
    <x v="0"/>
    <x v="3"/>
    <n v="2"/>
    <n v="9"/>
    <x v="1"/>
  </r>
  <r>
    <s v="TX501436"/>
    <x v="7"/>
    <n v="5"/>
    <n v="50.7"/>
    <n v="253.5"/>
    <x v="53"/>
    <x v="54"/>
    <x v="1"/>
    <x v="0"/>
    <x v="0"/>
    <x v="0"/>
    <x v="3"/>
    <n v="1"/>
    <n v="9"/>
    <x v="1"/>
  </r>
  <r>
    <s v="TX501437"/>
    <x v="7"/>
    <n v="9"/>
    <n v="66.099999999999994"/>
    <n v="594.9"/>
    <x v="53"/>
    <x v="60"/>
    <x v="1"/>
    <x v="1"/>
    <x v="0"/>
    <x v="0"/>
    <x v="3"/>
    <n v="14"/>
    <n v="9"/>
    <x v="1"/>
  </r>
  <r>
    <s v="TX501438"/>
    <x v="12"/>
    <n v="5"/>
    <n v="36.700000000000003"/>
    <n v="183.5"/>
    <x v="53"/>
    <x v="53"/>
    <x v="1"/>
    <x v="4"/>
    <x v="0"/>
    <x v="0"/>
    <x v="3"/>
    <n v="4"/>
    <n v="9"/>
    <x v="1"/>
  </r>
  <r>
    <s v="TX501439"/>
    <x v="8"/>
    <n v="17"/>
    <n v="19.3"/>
    <n v="328.1"/>
    <x v="53"/>
    <x v="51"/>
    <x v="0"/>
    <x v="0"/>
    <x v="0"/>
    <x v="0"/>
    <x v="43"/>
    <n v="2"/>
    <n v="9"/>
    <x v="0"/>
  </r>
  <r>
    <s v="TX501440"/>
    <x v="8"/>
    <n v="4"/>
    <n v="20.7"/>
    <n v="82.8"/>
    <x v="53"/>
    <x v="54"/>
    <x v="0"/>
    <x v="1"/>
    <x v="2"/>
    <x v="0"/>
    <x v="6"/>
    <n v="1"/>
    <n v="9"/>
    <x v="0"/>
  </r>
  <r>
    <s v="TX501441"/>
    <x v="5"/>
    <n v="3"/>
    <n v="54.7"/>
    <n v="164.10000000000002"/>
    <x v="53"/>
    <x v="55"/>
    <x v="3"/>
    <x v="1"/>
    <x v="4"/>
    <x v="0"/>
    <x v="6"/>
    <n v="0"/>
    <n v="9"/>
    <x v="3"/>
  </r>
  <r>
    <s v="TX501442"/>
    <x v="4"/>
    <n v="2"/>
    <n v="19.8"/>
    <n v="39.6"/>
    <x v="53"/>
    <x v="53"/>
    <x v="1"/>
    <x v="4"/>
    <x v="1"/>
    <x v="0"/>
    <x v="8"/>
    <n v="4"/>
    <n v="9"/>
    <x v="1"/>
  </r>
  <r>
    <s v="TX501443"/>
    <x v="7"/>
    <n v="1"/>
    <n v="41.1"/>
    <n v="41.1"/>
    <x v="53"/>
    <x v="51"/>
    <x v="1"/>
    <x v="0"/>
    <x v="2"/>
    <x v="0"/>
    <x v="8"/>
    <n v="2"/>
    <n v="9"/>
    <x v="1"/>
  </r>
  <r>
    <s v="TX501444"/>
    <x v="11"/>
    <n v="8"/>
    <n v="43.5"/>
    <n v="348"/>
    <x v="53"/>
    <x v="53"/>
    <x v="1"/>
    <x v="3"/>
    <x v="0"/>
    <x v="0"/>
    <x v="8"/>
    <n v="4"/>
    <n v="9"/>
    <x v="1"/>
  </r>
  <r>
    <s v="TX501445"/>
    <x v="8"/>
    <n v="14"/>
    <n v="19"/>
    <n v="266"/>
    <x v="53"/>
    <x v="54"/>
    <x v="0"/>
    <x v="0"/>
    <x v="0"/>
    <x v="0"/>
    <x v="26"/>
    <n v="1"/>
    <n v="9"/>
    <x v="0"/>
  </r>
  <r>
    <s v="TX501446"/>
    <x v="2"/>
    <n v="4"/>
    <n v="51.4"/>
    <n v="205.6"/>
    <x v="53"/>
    <x v="55"/>
    <x v="1"/>
    <x v="0"/>
    <x v="0"/>
    <x v="0"/>
    <x v="26"/>
    <n v="0"/>
    <n v="9"/>
    <x v="1"/>
  </r>
  <r>
    <s v="TX501447"/>
    <x v="10"/>
    <n v="2"/>
    <n v="39.799999999999997"/>
    <n v="79.599999999999994"/>
    <x v="53"/>
    <x v="52"/>
    <x v="0"/>
    <x v="3"/>
    <x v="1"/>
    <x v="0"/>
    <x v="13"/>
    <n v="3"/>
    <n v="9"/>
    <x v="0"/>
  </r>
  <r>
    <s v="TX501448"/>
    <x v="6"/>
    <n v="5"/>
    <n v="61"/>
    <n v="305"/>
    <x v="53"/>
    <x v="54"/>
    <x v="2"/>
    <x v="0"/>
    <x v="2"/>
    <x v="0"/>
    <x v="21"/>
    <n v="1"/>
    <n v="9"/>
    <x v="2"/>
  </r>
  <r>
    <s v="TX501449"/>
    <x v="8"/>
    <n v="11"/>
    <n v="15.1"/>
    <n v="166.1"/>
    <x v="54"/>
    <x v="59"/>
    <x v="0"/>
    <x v="3"/>
    <x v="2"/>
    <x v="0"/>
    <x v="2"/>
    <n v="5"/>
    <n v="9"/>
    <x v="0"/>
  </r>
  <r>
    <s v="TX501450"/>
    <x v="1"/>
    <n v="7"/>
    <n v="71.3"/>
    <n v="499.09999999999997"/>
    <x v="54"/>
    <x v="51"/>
    <x v="0"/>
    <x v="4"/>
    <x v="0"/>
    <x v="0"/>
    <x v="3"/>
    <n v="1"/>
    <n v="9"/>
    <x v="0"/>
  </r>
  <r>
    <s v="TX501451"/>
    <x v="10"/>
    <n v="1"/>
    <n v="25.8"/>
    <n v="25.8"/>
    <x v="54"/>
    <x v="52"/>
    <x v="1"/>
    <x v="0"/>
    <x v="2"/>
    <x v="0"/>
    <x v="3"/>
    <n v="2"/>
    <n v="9"/>
    <x v="1"/>
  </r>
  <r>
    <s v="TX501452"/>
    <x v="8"/>
    <n v="5"/>
    <n v="39.6"/>
    <n v="198"/>
    <x v="54"/>
    <x v="52"/>
    <x v="0"/>
    <x v="1"/>
    <x v="2"/>
    <x v="0"/>
    <x v="3"/>
    <n v="2"/>
    <n v="9"/>
    <x v="0"/>
  </r>
  <r>
    <s v="TX501453"/>
    <x v="5"/>
    <n v="2"/>
    <n v="64"/>
    <n v="128"/>
    <x v="54"/>
    <x v="54"/>
    <x v="0"/>
    <x v="1"/>
    <x v="1"/>
    <x v="0"/>
    <x v="3"/>
    <n v="0"/>
    <n v="9"/>
    <x v="0"/>
  </r>
  <r>
    <s v="TX501454"/>
    <x v="8"/>
    <n v="2"/>
    <n v="30.6"/>
    <n v="61.2"/>
    <x v="54"/>
    <x v="53"/>
    <x v="0"/>
    <x v="0"/>
    <x v="2"/>
    <x v="0"/>
    <x v="3"/>
    <n v="3"/>
    <n v="9"/>
    <x v="0"/>
  </r>
  <r>
    <s v="TX501455"/>
    <x v="8"/>
    <n v="2"/>
    <n v="21.3"/>
    <n v="42.6"/>
    <x v="54"/>
    <x v="51"/>
    <x v="0"/>
    <x v="0"/>
    <x v="1"/>
    <x v="0"/>
    <x v="3"/>
    <n v="1"/>
    <n v="9"/>
    <x v="0"/>
  </r>
  <r>
    <s v="TX501456"/>
    <x v="7"/>
    <n v="1"/>
    <n v="40.799999999999997"/>
    <n v="40.799999999999997"/>
    <x v="54"/>
    <x v="52"/>
    <x v="1"/>
    <x v="4"/>
    <x v="0"/>
    <x v="0"/>
    <x v="3"/>
    <n v="2"/>
    <n v="9"/>
    <x v="1"/>
  </r>
  <r>
    <s v="TX501457"/>
    <x v="9"/>
    <n v="4"/>
    <n v="27.7"/>
    <n v="110.8"/>
    <x v="54"/>
    <x v="51"/>
    <x v="1"/>
    <x v="0"/>
    <x v="1"/>
    <x v="0"/>
    <x v="3"/>
    <n v="1"/>
    <n v="9"/>
    <x v="1"/>
  </r>
  <r>
    <s v="TX501458"/>
    <x v="6"/>
    <n v="2"/>
    <n v="64.599999999999994"/>
    <n v="129.19999999999999"/>
    <x v="54"/>
    <x v="51"/>
    <x v="0"/>
    <x v="0"/>
    <x v="1"/>
    <x v="0"/>
    <x v="3"/>
    <n v="1"/>
    <n v="9"/>
    <x v="0"/>
  </r>
  <r>
    <s v="TX501459"/>
    <x v="6"/>
    <n v="16"/>
    <n v="91.1"/>
    <n v="1457.6"/>
    <x v="54"/>
    <x v="51"/>
    <x v="1"/>
    <x v="1"/>
    <x v="2"/>
    <x v="0"/>
    <x v="3"/>
    <n v="1"/>
    <n v="9"/>
    <x v="1"/>
  </r>
  <r>
    <s v="TX501460"/>
    <x v="1"/>
    <n v="1"/>
    <n v="39.5"/>
    <n v="39.5"/>
    <x v="54"/>
    <x v="61"/>
    <x v="1"/>
    <x v="0"/>
    <x v="0"/>
    <x v="0"/>
    <x v="3"/>
    <n v="8"/>
    <n v="9"/>
    <x v="1"/>
  </r>
  <r>
    <s v="TX501461"/>
    <x v="9"/>
    <n v="2"/>
    <n v="21.8"/>
    <n v="43.6"/>
    <x v="54"/>
    <x v="58"/>
    <x v="0"/>
    <x v="4"/>
    <x v="2"/>
    <x v="0"/>
    <x v="3"/>
    <n v="4"/>
    <n v="9"/>
    <x v="0"/>
  </r>
  <r>
    <s v="TX501462"/>
    <x v="8"/>
    <n v="2"/>
    <n v="51"/>
    <n v="102"/>
    <x v="54"/>
    <x v="53"/>
    <x v="0"/>
    <x v="3"/>
    <x v="2"/>
    <x v="0"/>
    <x v="3"/>
    <n v="3"/>
    <n v="9"/>
    <x v="0"/>
  </r>
  <r>
    <s v="TX501463"/>
    <x v="2"/>
    <n v="1"/>
    <n v="92.6"/>
    <n v="92.6"/>
    <x v="54"/>
    <x v="53"/>
    <x v="1"/>
    <x v="0"/>
    <x v="2"/>
    <x v="0"/>
    <x v="35"/>
    <n v="3"/>
    <n v="9"/>
    <x v="1"/>
  </r>
  <r>
    <s v="TX501464"/>
    <x v="9"/>
    <n v="2"/>
    <n v="31.1"/>
    <n v="62.2"/>
    <x v="54"/>
    <x v="59"/>
    <x v="2"/>
    <x v="1"/>
    <x v="3"/>
    <x v="0"/>
    <x v="23"/>
    <n v="5"/>
    <n v="9"/>
    <x v="2"/>
  </r>
  <r>
    <s v="TX501465"/>
    <x v="5"/>
    <n v="3"/>
    <n v="56.4"/>
    <n v="169.2"/>
    <x v="54"/>
    <x v="51"/>
    <x v="2"/>
    <x v="1"/>
    <x v="0"/>
    <x v="0"/>
    <x v="6"/>
    <n v="1"/>
    <n v="9"/>
    <x v="2"/>
  </r>
  <r>
    <s v="TX501466"/>
    <x v="9"/>
    <n v="1"/>
    <n v="41.9"/>
    <n v="41.9"/>
    <x v="54"/>
    <x v="54"/>
    <x v="0"/>
    <x v="1"/>
    <x v="0"/>
    <x v="0"/>
    <x v="6"/>
    <n v="0"/>
    <n v="9"/>
    <x v="0"/>
  </r>
  <r>
    <s v="TX501467"/>
    <x v="10"/>
    <n v="7"/>
    <n v="45.9"/>
    <n v="321.3"/>
    <x v="54"/>
    <x v="51"/>
    <x v="0"/>
    <x v="3"/>
    <x v="2"/>
    <x v="0"/>
    <x v="8"/>
    <n v="1"/>
    <n v="9"/>
    <x v="0"/>
  </r>
  <r>
    <s v="TX501468"/>
    <x v="14"/>
    <n v="9"/>
    <n v="24.4"/>
    <n v="219.6"/>
    <x v="54"/>
    <x v="58"/>
    <x v="0"/>
    <x v="3"/>
    <x v="2"/>
    <x v="0"/>
    <x v="8"/>
    <n v="4"/>
    <n v="9"/>
    <x v="0"/>
  </r>
  <r>
    <s v="TX501469"/>
    <x v="8"/>
    <n v="1"/>
    <n v="18.2"/>
    <n v="18.2"/>
    <x v="54"/>
    <x v="51"/>
    <x v="1"/>
    <x v="2"/>
    <x v="2"/>
    <x v="0"/>
    <x v="8"/>
    <n v="1"/>
    <n v="9"/>
    <x v="1"/>
  </r>
  <r>
    <s v="TX501470"/>
    <x v="8"/>
    <n v="4"/>
    <n v="51.2"/>
    <n v="204.8"/>
    <x v="54"/>
    <x v="51"/>
    <x v="1"/>
    <x v="0"/>
    <x v="0"/>
    <x v="0"/>
    <x v="8"/>
    <n v="1"/>
    <n v="9"/>
    <x v="1"/>
  </r>
  <r>
    <s v="TX501471"/>
    <x v="6"/>
    <n v="1"/>
    <n v="59.7"/>
    <n v="59.7"/>
    <x v="54"/>
    <x v="53"/>
    <x v="0"/>
    <x v="0"/>
    <x v="2"/>
    <x v="0"/>
    <x v="8"/>
    <n v="3"/>
    <n v="9"/>
    <x v="0"/>
  </r>
  <r>
    <s v="TX501472"/>
    <x v="4"/>
    <n v="2"/>
    <n v="33.6"/>
    <n v="67.2"/>
    <x v="54"/>
    <x v="52"/>
    <x v="1"/>
    <x v="0"/>
    <x v="0"/>
    <x v="0"/>
    <x v="17"/>
    <n v="2"/>
    <n v="9"/>
    <x v="1"/>
  </r>
  <r>
    <s v="TX501473"/>
    <x v="12"/>
    <n v="1"/>
    <n v="90.4"/>
    <n v="90.4"/>
    <x v="54"/>
    <x v="58"/>
    <x v="0"/>
    <x v="1"/>
    <x v="2"/>
    <x v="0"/>
    <x v="10"/>
    <n v="4"/>
    <n v="9"/>
    <x v="0"/>
  </r>
  <r>
    <s v="TX501474"/>
    <x v="11"/>
    <n v="3"/>
    <n v="70.3"/>
    <n v="210.89999999999998"/>
    <x v="54"/>
    <x v="54"/>
    <x v="0"/>
    <x v="1"/>
    <x v="2"/>
    <x v="0"/>
    <x v="11"/>
    <n v="0"/>
    <n v="9"/>
    <x v="0"/>
  </r>
  <r>
    <s v="TX501475"/>
    <x v="4"/>
    <n v="2"/>
    <n v="20.5"/>
    <n v="41"/>
    <x v="54"/>
    <x v="53"/>
    <x v="1"/>
    <x v="0"/>
    <x v="1"/>
    <x v="0"/>
    <x v="11"/>
    <n v="3"/>
    <n v="9"/>
    <x v="1"/>
  </r>
  <r>
    <s v="TX501476"/>
    <x v="5"/>
    <n v="11"/>
    <n v="37.6"/>
    <n v="413.6"/>
    <x v="54"/>
    <x v="51"/>
    <x v="0"/>
    <x v="0"/>
    <x v="0"/>
    <x v="0"/>
    <x v="38"/>
    <n v="1"/>
    <n v="9"/>
    <x v="0"/>
  </r>
  <r>
    <s v="TX501477"/>
    <x v="5"/>
    <n v="4"/>
    <n v="61.5"/>
    <n v="246"/>
    <x v="54"/>
    <x v="62"/>
    <x v="1"/>
    <x v="1"/>
    <x v="4"/>
    <x v="0"/>
    <x v="13"/>
    <n v="7"/>
    <n v="9"/>
    <x v="1"/>
  </r>
  <r>
    <s v="TX501478"/>
    <x v="9"/>
    <n v="1"/>
    <n v="33.5"/>
    <n v="33.5"/>
    <x v="55"/>
    <x v="59"/>
    <x v="0"/>
    <x v="4"/>
    <x v="1"/>
    <x v="0"/>
    <x v="21"/>
    <n v="4"/>
    <n v="9"/>
    <x v="0"/>
  </r>
  <r>
    <s v="TX501479"/>
    <x v="4"/>
    <n v="3"/>
    <n v="29.3"/>
    <n v="87.9"/>
    <x v="55"/>
    <x v="53"/>
    <x v="1"/>
    <x v="1"/>
    <x v="2"/>
    <x v="0"/>
    <x v="1"/>
    <n v="2"/>
    <n v="9"/>
    <x v="1"/>
  </r>
  <r>
    <s v="TX501480"/>
    <x v="2"/>
    <n v="2"/>
    <n v="125.9"/>
    <n v="251.8"/>
    <x v="55"/>
    <x v="57"/>
    <x v="1"/>
    <x v="4"/>
    <x v="1"/>
    <x v="0"/>
    <x v="1"/>
    <n v="5"/>
    <n v="9"/>
    <x v="1"/>
  </r>
  <r>
    <s v="TX501481"/>
    <x v="5"/>
    <n v="5"/>
    <n v="29.3"/>
    <n v="146.5"/>
    <x v="55"/>
    <x v="51"/>
    <x v="0"/>
    <x v="2"/>
    <x v="0"/>
    <x v="0"/>
    <x v="44"/>
    <n v="0"/>
    <n v="9"/>
    <x v="0"/>
  </r>
  <r>
    <s v="TX501482"/>
    <x v="9"/>
    <n v="1"/>
    <n v="37.799999999999997"/>
    <n v="37.799999999999997"/>
    <x v="55"/>
    <x v="58"/>
    <x v="1"/>
    <x v="0"/>
    <x v="2"/>
    <x v="0"/>
    <x v="3"/>
    <n v="3"/>
    <n v="9"/>
    <x v="1"/>
  </r>
  <r>
    <s v="TX501483"/>
    <x v="0"/>
    <n v="4"/>
    <n v="31.7"/>
    <n v="126.8"/>
    <x v="55"/>
    <x v="52"/>
    <x v="0"/>
    <x v="2"/>
    <x v="2"/>
    <x v="0"/>
    <x v="3"/>
    <n v="1"/>
    <n v="9"/>
    <x v="0"/>
  </r>
  <r>
    <s v="TX501484"/>
    <x v="8"/>
    <n v="5"/>
    <n v="26.3"/>
    <n v="131.5"/>
    <x v="55"/>
    <x v="52"/>
    <x v="1"/>
    <x v="3"/>
    <x v="2"/>
    <x v="0"/>
    <x v="3"/>
    <n v="1"/>
    <n v="9"/>
    <x v="1"/>
  </r>
  <r>
    <s v="TX501485"/>
    <x v="8"/>
    <n v="3"/>
    <n v="23.1"/>
    <n v="69.300000000000011"/>
    <x v="55"/>
    <x v="52"/>
    <x v="3"/>
    <x v="2"/>
    <x v="1"/>
    <x v="0"/>
    <x v="3"/>
    <n v="1"/>
    <n v="9"/>
    <x v="3"/>
  </r>
  <r>
    <s v="TX501486"/>
    <x v="4"/>
    <n v="1"/>
    <n v="22.3"/>
    <n v="22.3"/>
    <x v="55"/>
    <x v="53"/>
    <x v="1"/>
    <x v="2"/>
    <x v="0"/>
    <x v="0"/>
    <x v="3"/>
    <n v="2"/>
    <n v="9"/>
    <x v="1"/>
  </r>
  <r>
    <s v="TX501487"/>
    <x v="12"/>
    <n v="2"/>
    <n v="99.5"/>
    <n v="199"/>
    <x v="55"/>
    <x v="53"/>
    <x v="1"/>
    <x v="2"/>
    <x v="0"/>
    <x v="0"/>
    <x v="3"/>
    <n v="2"/>
    <n v="9"/>
    <x v="1"/>
  </r>
  <r>
    <s v="TX501488"/>
    <x v="12"/>
    <n v="4"/>
    <n v="47.4"/>
    <n v="189.6"/>
    <x v="55"/>
    <x v="58"/>
    <x v="1"/>
    <x v="1"/>
    <x v="0"/>
    <x v="0"/>
    <x v="3"/>
    <n v="3"/>
    <n v="9"/>
    <x v="1"/>
  </r>
  <r>
    <s v="TX501489"/>
    <x v="0"/>
    <n v="11"/>
    <n v="37.5"/>
    <n v="412.5"/>
    <x v="55"/>
    <x v="53"/>
    <x v="1"/>
    <x v="0"/>
    <x v="3"/>
    <x v="0"/>
    <x v="3"/>
    <n v="2"/>
    <n v="9"/>
    <x v="1"/>
  </r>
  <r>
    <s v="TX501490"/>
    <x v="10"/>
    <n v="1"/>
    <n v="45.1"/>
    <n v="45.1"/>
    <x v="55"/>
    <x v="57"/>
    <x v="0"/>
    <x v="3"/>
    <x v="2"/>
    <x v="0"/>
    <x v="24"/>
    <n v="5"/>
    <n v="9"/>
    <x v="0"/>
  </r>
  <r>
    <s v="TX501491"/>
    <x v="5"/>
    <n v="10"/>
    <n v="34.4"/>
    <n v="344"/>
    <x v="55"/>
    <x v="58"/>
    <x v="0"/>
    <x v="2"/>
    <x v="0"/>
    <x v="0"/>
    <x v="16"/>
    <n v="3"/>
    <n v="9"/>
    <x v="0"/>
  </r>
  <r>
    <s v="TX501492"/>
    <x v="4"/>
    <n v="2"/>
    <n v="38"/>
    <n v="76"/>
    <x v="55"/>
    <x v="53"/>
    <x v="1"/>
    <x v="1"/>
    <x v="0"/>
    <x v="0"/>
    <x v="5"/>
    <n v="2"/>
    <n v="9"/>
    <x v="1"/>
  </r>
  <r>
    <s v="TX501493"/>
    <x v="3"/>
    <n v="14"/>
    <n v="32.4"/>
    <n v="453.59999999999997"/>
    <x v="55"/>
    <x v="58"/>
    <x v="0"/>
    <x v="4"/>
    <x v="0"/>
    <x v="0"/>
    <x v="6"/>
    <n v="3"/>
    <n v="9"/>
    <x v="0"/>
  </r>
  <r>
    <s v="TX501494"/>
    <x v="6"/>
    <n v="3"/>
    <n v="40.9"/>
    <n v="122.69999999999999"/>
    <x v="55"/>
    <x v="51"/>
    <x v="2"/>
    <x v="1"/>
    <x v="0"/>
    <x v="0"/>
    <x v="8"/>
    <n v="0"/>
    <n v="9"/>
    <x v="2"/>
  </r>
  <r>
    <s v="TX501495"/>
    <x v="7"/>
    <n v="7"/>
    <n v="76.2"/>
    <n v="533.4"/>
    <x v="55"/>
    <x v="53"/>
    <x v="1"/>
    <x v="2"/>
    <x v="1"/>
    <x v="0"/>
    <x v="8"/>
    <n v="2"/>
    <n v="9"/>
    <x v="1"/>
  </r>
  <r>
    <s v="TX501496"/>
    <x v="2"/>
    <n v="1"/>
    <n v="85.6"/>
    <n v="85.6"/>
    <x v="55"/>
    <x v="53"/>
    <x v="0"/>
    <x v="2"/>
    <x v="0"/>
    <x v="0"/>
    <x v="8"/>
    <n v="2"/>
    <n v="9"/>
    <x v="0"/>
  </r>
  <r>
    <s v="TX501497"/>
    <x v="4"/>
    <n v="4"/>
    <n v="25"/>
    <n v="100"/>
    <x v="55"/>
    <x v="53"/>
    <x v="1"/>
    <x v="2"/>
    <x v="2"/>
    <x v="0"/>
    <x v="8"/>
    <n v="2"/>
    <n v="9"/>
    <x v="1"/>
  </r>
  <r>
    <s v="TX501498"/>
    <x v="2"/>
    <n v="5"/>
    <n v="150.69999999999999"/>
    <n v="753.5"/>
    <x v="55"/>
    <x v="52"/>
    <x v="2"/>
    <x v="0"/>
    <x v="2"/>
    <x v="0"/>
    <x v="8"/>
    <n v="1"/>
    <n v="9"/>
    <x v="2"/>
  </r>
  <r>
    <s v="TX501499"/>
    <x v="8"/>
    <n v="1"/>
    <n v="19.600000000000001"/>
    <n v="19.600000000000001"/>
    <x v="55"/>
    <x v="52"/>
    <x v="0"/>
    <x v="1"/>
    <x v="4"/>
    <x v="0"/>
    <x v="8"/>
    <n v="1"/>
    <n v="9"/>
    <x v="0"/>
  </r>
  <r>
    <s v="TX501500"/>
    <x v="13"/>
    <n v="2"/>
    <n v="37.5"/>
    <n v="75"/>
    <x v="55"/>
    <x v="58"/>
    <x v="1"/>
    <x v="1"/>
    <x v="2"/>
    <x v="0"/>
    <x v="17"/>
    <n v="3"/>
    <n v="9"/>
    <x v="1"/>
  </r>
  <r>
    <s v="TX501501"/>
    <x v="9"/>
    <n v="3"/>
    <n v="51.9"/>
    <n v="155.69999999999999"/>
    <x v="55"/>
    <x v="62"/>
    <x v="1"/>
    <x v="0"/>
    <x v="4"/>
    <x v="0"/>
    <x v="11"/>
    <n v="6"/>
    <n v="9"/>
    <x v="1"/>
  </r>
  <r>
    <s v="TX501502"/>
    <x v="1"/>
    <n v="2"/>
    <n v="30.9"/>
    <n v="61.8"/>
    <x v="55"/>
    <x v="53"/>
    <x v="1"/>
    <x v="1"/>
    <x v="0"/>
    <x v="0"/>
    <x v="18"/>
    <n v="2"/>
    <n v="9"/>
    <x v="1"/>
  </r>
  <r>
    <s v="TX501503"/>
    <x v="4"/>
    <n v="3"/>
    <n v="21.2"/>
    <n v="63.599999999999994"/>
    <x v="55"/>
    <x v="58"/>
    <x v="1"/>
    <x v="1"/>
    <x v="0"/>
    <x v="0"/>
    <x v="19"/>
    <n v="3"/>
    <n v="9"/>
    <x v="1"/>
  </r>
  <r>
    <s v="TX501504"/>
    <x v="13"/>
    <n v="17"/>
    <n v="17.5"/>
    <n v="297.5"/>
    <x v="55"/>
    <x v="52"/>
    <x v="0"/>
    <x v="1"/>
    <x v="1"/>
    <x v="0"/>
    <x v="13"/>
    <n v="1"/>
    <n v="9"/>
    <x v="0"/>
  </r>
  <r>
    <s v="TX501505"/>
    <x v="12"/>
    <n v="2"/>
    <n v="53.8"/>
    <n v="107.6"/>
    <x v="55"/>
    <x v="57"/>
    <x v="1"/>
    <x v="0"/>
    <x v="2"/>
    <x v="0"/>
    <x v="21"/>
    <n v="5"/>
    <n v="9"/>
    <x v="1"/>
  </r>
  <r>
    <s v="TX501506"/>
    <x v="19"/>
    <n v="2"/>
    <n v="17"/>
    <n v="34"/>
    <x v="55"/>
    <x v="52"/>
    <x v="0"/>
    <x v="3"/>
    <x v="0"/>
    <x v="0"/>
    <x v="21"/>
    <n v="1"/>
    <n v="9"/>
    <x v="0"/>
  </r>
  <r>
    <s v="TX501507"/>
    <x v="6"/>
    <n v="1"/>
    <n v="103.2"/>
    <n v="103.2"/>
    <x v="55"/>
    <x v="63"/>
    <x v="0"/>
    <x v="2"/>
    <x v="1"/>
    <x v="0"/>
    <x v="1"/>
    <n v="8"/>
    <n v="9"/>
    <x v="0"/>
  </r>
  <r>
    <s v="TX501508"/>
    <x v="6"/>
    <n v="4"/>
    <n v="70.3"/>
    <n v="281.2"/>
    <x v="55"/>
    <x v="52"/>
    <x v="0"/>
    <x v="0"/>
    <x v="0"/>
    <x v="0"/>
    <x v="3"/>
    <n v="1"/>
    <n v="9"/>
    <x v="0"/>
  </r>
  <r>
    <s v="TX501509"/>
    <x v="2"/>
    <n v="2"/>
    <n v="73.8"/>
    <n v="147.6"/>
    <x v="55"/>
    <x v="51"/>
    <x v="0"/>
    <x v="3"/>
    <x v="2"/>
    <x v="0"/>
    <x v="3"/>
    <n v="0"/>
    <n v="9"/>
    <x v="0"/>
  </r>
  <r>
    <s v="TX501510"/>
    <x v="1"/>
    <n v="12"/>
    <n v="67.7"/>
    <n v="812.40000000000009"/>
    <x v="55"/>
    <x v="59"/>
    <x v="0"/>
    <x v="1"/>
    <x v="1"/>
    <x v="0"/>
    <x v="3"/>
    <n v="4"/>
    <n v="9"/>
    <x v="0"/>
  </r>
  <r>
    <s v="TX501511"/>
    <x v="13"/>
    <n v="7"/>
    <n v="43.8"/>
    <n v="306.59999999999997"/>
    <x v="55"/>
    <x v="53"/>
    <x v="0"/>
    <x v="1"/>
    <x v="0"/>
    <x v="0"/>
    <x v="3"/>
    <n v="2"/>
    <n v="9"/>
    <x v="0"/>
  </r>
  <r>
    <s v="TX501512"/>
    <x v="17"/>
    <n v="6"/>
    <n v="71.900000000000006"/>
    <n v="431.40000000000003"/>
    <x v="55"/>
    <x v="52"/>
    <x v="1"/>
    <x v="2"/>
    <x v="0"/>
    <x v="0"/>
    <x v="3"/>
    <n v="1"/>
    <n v="9"/>
    <x v="1"/>
  </r>
  <r>
    <s v="TX501513"/>
    <x v="8"/>
    <n v="2"/>
    <n v="26.3"/>
    <n v="52.6"/>
    <x v="56"/>
    <x v="58"/>
    <x v="1"/>
    <x v="0"/>
    <x v="1"/>
    <x v="0"/>
    <x v="3"/>
    <n v="2"/>
    <n v="9"/>
    <x v="1"/>
  </r>
  <r>
    <s v="TX501514"/>
    <x v="6"/>
    <n v="4"/>
    <n v="52.6"/>
    <n v="210.4"/>
    <x v="56"/>
    <x v="58"/>
    <x v="1"/>
    <x v="2"/>
    <x v="1"/>
    <x v="0"/>
    <x v="3"/>
    <n v="2"/>
    <n v="9"/>
    <x v="1"/>
  </r>
  <r>
    <s v="TX501515"/>
    <x v="10"/>
    <n v="1"/>
    <n v="32.700000000000003"/>
    <n v="32.700000000000003"/>
    <x v="56"/>
    <x v="63"/>
    <x v="1"/>
    <x v="0"/>
    <x v="2"/>
    <x v="0"/>
    <x v="3"/>
    <n v="7"/>
    <n v="9"/>
    <x v="1"/>
  </r>
  <r>
    <s v="TX501516"/>
    <x v="5"/>
    <n v="4"/>
    <n v="38.9"/>
    <n v="155.6"/>
    <x v="56"/>
    <x v="53"/>
    <x v="1"/>
    <x v="0"/>
    <x v="0"/>
    <x v="0"/>
    <x v="3"/>
    <n v="1"/>
    <n v="9"/>
    <x v="1"/>
  </r>
  <r>
    <s v="TX501517"/>
    <x v="9"/>
    <n v="5"/>
    <n v="35"/>
    <n v="175"/>
    <x v="56"/>
    <x v="58"/>
    <x v="0"/>
    <x v="0"/>
    <x v="0"/>
    <x v="0"/>
    <x v="3"/>
    <n v="2"/>
    <n v="9"/>
    <x v="0"/>
  </r>
  <r>
    <s v="TX501518"/>
    <x v="2"/>
    <n v="2"/>
    <n v="121"/>
    <n v="242"/>
    <x v="56"/>
    <x v="53"/>
    <x v="1"/>
    <x v="1"/>
    <x v="1"/>
    <x v="0"/>
    <x v="3"/>
    <n v="1"/>
    <n v="9"/>
    <x v="1"/>
  </r>
  <r>
    <s v="TX501519"/>
    <x v="6"/>
    <n v="3"/>
    <n v="65.099999999999994"/>
    <n v="195.29999999999998"/>
    <x v="56"/>
    <x v="57"/>
    <x v="0"/>
    <x v="2"/>
    <x v="0"/>
    <x v="0"/>
    <x v="36"/>
    <n v="4"/>
    <n v="9"/>
    <x v="0"/>
  </r>
  <r>
    <s v="TX501520"/>
    <x v="1"/>
    <n v="21"/>
    <n v="63.8"/>
    <n v="1339.8"/>
    <x v="56"/>
    <x v="58"/>
    <x v="1"/>
    <x v="0"/>
    <x v="0"/>
    <x v="0"/>
    <x v="8"/>
    <n v="2"/>
    <n v="9"/>
    <x v="1"/>
  </r>
  <r>
    <s v="TX501521"/>
    <x v="7"/>
    <n v="1"/>
    <n v="77.7"/>
    <n v="77.7"/>
    <x v="56"/>
    <x v="58"/>
    <x v="0"/>
    <x v="0"/>
    <x v="0"/>
    <x v="0"/>
    <x v="8"/>
    <n v="2"/>
    <n v="9"/>
    <x v="0"/>
  </r>
  <r>
    <s v="TX501522"/>
    <x v="5"/>
    <n v="4"/>
    <n v="60.3"/>
    <n v="241.2"/>
    <x v="56"/>
    <x v="52"/>
    <x v="0"/>
    <x v="0"/>
    <x v="2"/>
    <x v="0"/>
    <x v="8"/>
    <n v="0"/>
    <n v="9"/>
    <x v="0"/>
  </r>
  <r>
    <s v="TX501523"/>
    <x v="5"/>
    <n v="2"/>
    <n v="124.1"/>
    <n v="248.2"/>
    <x v="56"/>
    <x v="59"/>
    <x v="1"/>
    <x v="0"/>
    <x v="2"/>
    <x v="0"/>
    <x v="8"/>
    <n v="3"/>
    <n v="9"/>
    <x v="1"/>
  </r>
  <r>
    <s v="TX501524"/>
    <x v="16"/>
    <n v="7"/>
    <n v="66"/>
    <n v="462"/>
    <x v="56"/>
    <x v="52"/>
    <x v="2"/>
    <x v="3"/>
    <x v="0"/>
    <x v="0"/>
    <x v="17"/>
    <n v="0"/>
    <n v="9"/>
    <x v="2"/>
  </r>
  <r>
    <s v="TX501525"/>
    <x v="2"/>
    <n v="63"/>
    <n v="118.2"/>
    <n v="7446.6"/>
    <x v="56"/>
    <x v="62"/>
    <x v="2"/>
    <x v="0"/>
    <x v="0"/>
    <x v="0"/>
    <x v="17"/>
    <n v="5"/>
    <n v="9"/>
    <x v="2"/>
  </r>
  <r>
    <s v="TX501526"/>
    <x v="5"/>
    <n v="5"/>
    <n v="64.3"/>
    <n v="321.5"/>
    <x v="56"/>
    <x v="53"/>
    <x v="0"/>
    <x v="4"/>
    <x v="4"/>
    <x v="0"/>
    <x v="26"/>
    <n v="1"/>
    <n v="9"/>
    <x v="0"/>
  </r>
  <r>
    <s v="TX501527"/>
    <x v="1"/>
    <n v="2"/>
    <n v="54.8"/>
    <n v="109.6"/>
    <x v="56"/>
    <x v="52"/>
    <x v="0"/>
    <x v="0"/>
    <x v="1"/>
    <x v="0"/>
    <x v="26"/>
    <n v="0"/>
    <n v="9"/>
    <x v="0"/>
  </r>
  <r>
    <s v="TX501528"/>
    <x v="7"/>
    <n v="2"/>
    <n v="78.599999999999994"/>
    <n v="157.19999999999999"/>
    <x v="56"/>
    <x v="53"/>
    <x v="0"/>
    <x v="0"/>
    <x v="2"/>
    <x v="0"/>
    <x v="9"/>
    <n v="1"/>
    <n v="9"/>
    <x v="0"/>
  </r>
  <r>
    <s v="TX501529"/>
    <x v="2"/>
    <n v="5"/>
    <n v="158.5"/>
    <n v="792.5"/>
    <x v="56"/>
    <x v="58"/>
    <x v="2"/>
    <x v="2"/>
    <x v="2"/>
    <x v="0"/>
    <x v="9"/>
    <n v="2"/>
    <n v="9"/>
    <x v="2"/>
  </r>
  <r>
    <s v="TX501530"/>
    <x v="4"/>
    <n v="10"/>
    <n v="23.5"/>
    <n v="235"/>
    <x v="56"/>
    <x v="59"/>
    <x v="0"/>
    <x v="0"/>
    <x v="4"/>
    <x v="0"/>
    <x v="10"/>
    <n v="3"/>
    <n v="9"/>
    <x v="0"/>
  </r>
  <r>
    <s v="TX501531"/>
    <x v="5"/>
    <n v="2"/>
    <n v="32.1"/>
    <n v="64.2"/>
    <x v="56"/>
    <x v="58"/>
    <x v="2"/>
    <x v="3"/>
    <x v="0"/>
    <x v="0"/>
    <x v="10"/>
    <n v="2"/>
    <n v="9"/>
    <x v="2"/>
  </r>
  <r>
    <s v="TX501532"/>
    <x v="17"/>
    <n v="4"/>
    <n v="71.900000000000006"/>
    <n v="287.60000000000002"/>
    <x v="56"/>
    <x v="52"/>
    <x v="0"/>
    <x v="2"/>
    <x v="0"/>
    <x v="0"/>
    <x v="19"/>
    <n v="0"/>
    <n v="9"/>
    <x v="0"/>
  </r>
  <r>
    <s v="TX501533"/>
    <x v="4"/>
    <n v="6"/>
    <n v="22.3"/>
    <n v="133.80000000000001"/>
    <x v="56"/>
    <x v="53"/>
    <x v="2"/>
    <x v="3"/>
    <x v="2"/>
    <x v="0"/>
    <x v="13"/>
    <n v="1"/>
    <n v="9"/>
    <x v="2"/>
  </r>
  <r>
    <s v="TX501534"/>
    <x v="11"/>
    <n v="2"/>
    <n v="29.5"/>
    <n v="59"/>
    <x v="56"/>
    <x v="53"/>
    <x v="1"/>
    <x v="0"/>
    <x v="2"/>
    <x v="0"/>
    <x v="13"/>
    <n v="1"/>
    <n v="9"/>
    <x v="1"/>
  </r>
  <r>
    <s v="TX501535"/>
    <x v="6"/>
    <n v="4"/>
    <n v="41.9"/>
    <n v="167.6"/>
    <x v="56"/>
    <x v="57"/>
    <x v="1"/>
    <x v="0"/>
    <x v="1"/>
    <x v="0"/>
    <x v="21"/>
    <n v="4"/>
    <n v="9"/>
    <x v="1"/>
  </r>
  <r>
    <s v="TX501536"/>
    <x v="6"/>
    <n v="3"/>
    <n v="107.8"/>
    <n v="323.39999999999998"/>
    <x v="56"/>
    <x v="53"/>
    <x v="0"/>
    <x v="1"/>
    <x v="2"/>
    <x v="0"/>
    <x v="46"/>
    <n v="1"/>
    <n v="9"/>
    <x v="0"/>
  </r>
  <r>
    <s v="TX501537"/>
    <x v="4"/>
    <n v="5"/>
    <n v="18.100000000000001"/>
    <n v="90.5"/>
    <x v="56"/>
    <x v="59"/>
    <x v="0"/>
    <x v="0"/>
    <x v="2"/>
    <x v="0"/>
    <x v="2"/>
    <n v="3"/>
    <n v="9"/>
    <x v="0"/>
  </r>
  <r>
    <s v="TX501538"/>
    <x v="12"/>
    <n v="9"/>
    <n v="79.8"/>
    <n v="718.19999999999993"/>
    <x v="56"/>
    <x v="53"/>
    <x v="1"/>
    <x v="1"/>
    <x v="1"/>
    <x v="0"/>
    <x v="22"/>
    <n v="1"/>
    <n v="9"/>
    <x v="1"/>
  </r>
  <r>
    <s v="TX501539"/>
    <x v="0"/>
    <n v="3"/>
    <n v="22.3"/>
    <n v="66.900000000000006"/>
    <x v="56"/>
    <x v="59"/>
    <x v="1"/>
    <x v="0"/>
    <x v="2"/>
    <x v="0"/>
    <x v="22"/>
    <n v="3"/>
    <n v="9"/>
    <x v="1"/>
  </r>
  <r>
    <s v="TX501540"/>
    <x v="8"/>
    <n v="1"/>
    <n v="22.9"/>
    <n v="22.9"/>
    <x v="56"/>
    <x v="52"/>
    <x v="1"/>
    <x v="1"/>
    <x v="0"/>
    <x v="0"/>
    <x v="22"/>
    <n v="0"/>
    <n v="9"/>
    <x v="1"/>
  </r>
  <r>
    <s v="TX501541"/>
    <x v="0"/>
    <n v="3"/>
    <n v="16.2"/>
    <n v="48.599999999999994"/>
    <x v="57"/>
    <x v="53"/>
    <x v="0"/>
    <x v="4"/>
    <x v="2"/>
    <x v="0"/>
    <x v="3"/>
    <n v="0"/>
    <n v="9"/>
    <x v="0"/>
  </r>
  <r>
    <s v="TX501542"/>
    <x v="10"/>
    <n v="4"/>
    <n v="59.5"/>
    <n v="238"/>
    <x v="57"/>
    <x v="58"/>
    <x v="0"/>
    <x v="1"/>
    <x v="2"/>
    <x v="0"/>
    <x v="3"/>
    <n v="1"/>
    <n v="9"/>
    <x v="0"/>
  </r>
  <r>
    <s v="TX501543"/>
    <x v="18"/>
    <n v="5"/>
    <n v="26.2"/>
    <n v="131"/>
    <x v="57"/>
    <x v="57"/>
    <x v="0"/>
    <x v="3"/>
    <x v="4"/>
    <x v="0"/>
    <x v="3"/>
    <n v="3"/>
    <n v="9"/>
    <x v="0"/>
  </r>
  <r>
    <s v="TX501544"/>
    <x v="3"/>
    <n v="1"/>
    <n v="44.2"/>
    <n v="44.2"/>
    <x v="57"/>
    <x v="57"/>
    <x v="1"/>
    <x v="1"/>
    <x v="0"/>
    <x v="0"/>
    <x v="3"/>
    <n v="3"/>
    <n v="9"/>
    <x v="1"/>
  </r>
  <r>
    <s v="TX501545"/>
    <x v="9"/>
    <n v="2"/>
    <n v="59.2"/>
    <n v="118.4"/>
    <x v="57"/>
    <x v="53"/>
    <x v="1"/>
    <x v="1"/>
    <x v="4"/>
    <x v="0"/>
    <x v="3"/>
    <n v="0"/>
    <n v="9"/>
    <x v="1"/>
  </r>
  <r>
    <s v="TX501546"/>
    <x v="15"/>
    <n v="4"/>
    <n v="41.5"/>
    <n v="166"/>
    <x v="57"/>
    <x v="59"/>
    <x v="1"/>
    <x v="0"/>
    <x v="0"/>
    <x v="0"/>
    <x v="16"/>
    <n v="2"/>
    <n v="9"/>
    <x v="1"/>
  </r>
  <r>
    <s v="TX501547"/>
    <x v="6"/>
    <n v="12"/>
    <n v="67.099999999999994"/>
    <n v="805.19999999999993"/>
    <x v="57"/>
    <x v="64"/>
    <x v="1"/>
    <x v="0"/>
    <x v="2"/>
    <x v="0"/>
    <x v="23"/>
    <n v="14"/>
    <n v="9"/>
    <x v="1"/>
  </r>
  <r>
    <s v="TX501548"/>
    <x v="8"/>
    <n v="2"/>
    <n v="28.7"/>
    <n v="57.4"/>
    <x v="57"/>
    <x v="62"/>
    <x v="1"/>
    <x v="1"/>
    <x v="0"/>
    <x v="0"/>
    <x v="6"/>
    <n v="4"/>
    <n v="9"/>
    <x v="1"/>
  </r>
  <r>
    <s v="TX501549"/>
    <x v="2"/>
    <n v="4"/>
    <n v="132.1"/>
    <n v="528.4"/>
    <x v="57"/>
    <x v="58"/>
    <x v="1"/>
    <x v="0"/>
    <x v="1"/>
    <x v="0"/>
    <x v="6"/>
    <n v="1"/>
    <n v="9"/>
    <x v="1"/>
  </r>
  <r>
    <s v="TX501550"/>
    <x v="18"/>
    <n v="2"/>
    <n v="47"/>
    <n v="94"/>
    <x v="57"/>
    <x v="59"/>
    <x v="0"/>
    <x v="4"/>
    <x v="0"/>
    <x v="0"/>
    <x v="8"/>
    <n v="2"/>
    <n v="9"/>
    <x v="0"/>
  </r>
  <r>
    <s v="TX501551"/>
    <x v="8"/>
    <n v="2"/>
    <n v="41.6"/>
    <n v="83.2"/>
    <x v="57"/>
    <x v="62"/>
    <x v="0"/>
    <x v="1"/>
    <x v="2"/>
    <x v="0"/>
    <x v="8"/>
    <n v="4"/>
    <n v="9"/>
    <x v="0"/>
  </r>
  <r>
    <s v="TX501552"/>
    <x v="8"/>
    <n v="38"/>
    <n v="17.3"/>
    <n v="657.4"/>
    <x v="57"/>
    <x v="59"/>
    <x v="0"/>
    <x v="2"/>
    <x v="2"/>
    <x v="0"/>
    <x v="8"/>
    <n v="2"/>
    <n v="9"/>
    <x v="0"/>
  </r>
  <r>
    <s v="TX501553"/>
    <x v="13"/>
    <n v="3"/>
    <n v="41.8"/>
    <n v="125.39999999999999"/>
    <x v="57"/>
    <x v="57"/>
    <x v="0"/>
    <x v="0"/>
    <x v="2"/>
    <x v="0"/>
    <x v="8"/>
    <n v="3"/>
    <n v="9"/>
    <x v="0"/>
  </r>
  <r>
    <s v="TX501554"/>
    <x v="10"/>
    <n v="1"/>
    <n v="24"/>
    <n v="24"/>
    <x v="57"/>
    <x v="58"/>
    <x v="1"/>
    <x v="0"/>
    <x v="0"/>
    <x v="0"/>
    <x v="17"/>
    <n v="1"/>
    <n v="9"/>
    <x v="1"/>
  </r>
  <r>
    <s v="TX501555"/>
    <x v="14"/>
    <n v="9"/>
    <n v="18.5"/>
    <n v="166.5"/>
    <x v="57"/>
    <x v="59"/>
    <x v="1"/>
    <x v="0"/>
    <x v="0"/>
    <x v="0"/>
    <x v="9"/>
    <n v="2"/>
    <n v="9"/>
    <x v="1"/>
  </r>
  <r>
    <s v="TX501556"/>
    <x v="3"/>
    <n v="12"/>
    <n v="66.7"/>
    <n v="800.40000000000009"/>
    <x v="57"/>
    <x v="57"/>
    <x v="2"/>
    <x v="0"/>
    <x v="2"/>
    <x v="0"/>
    <x v="11"/>
    <n v="3"/>
    <n v="9"/>
    <x v="2"/>
  </r>
  <r>
    <s v="TX501557"/>
    <x v="1"/>
    <n v="4"/>
    <n v="33.1"/>
    <n v="132.4"/>
    <x v="57"/>
    <x v="61"/>
    <x v="0"/>
    <x v="3"/>
    <x v="0"/>
    <x v="0"/>
    <x v="11"/>
    <n v="5"/>
    <n v="9"/>
    <x v="0"/>
  </r>
  <r>
    <s v="TX501558"/>
    <x v="19"/>
    <n v="9"/>
    <n v="42.1"/>
    <n v="378.90000000000003"/>
    <x v="57"/>
    <x v="65"/>
    <x v="0"/>
    <x v="1"/>
    <x v="0"/>
    <x v="0"/>
    <x v="18"/>
    <n v="11"/>
    <n v="9"/>
    <x v="0"/>
  </r>
  <r>
    <s v="TX501559"/>
    <x v="18"/>
    <n v="7"/>
    <n v="58.7"/>
    <n v="410.90000000000003"/>
    <x v="57"/>
    <x v="53"/>
    <x v="3"/>
    <x v="3"/>
    <x v="0"/>
    <x v="0"/>
    <x v="31"/>
    <n v="0"/>
    <n v="9"/>
    <x v="3"/>
  </r>
  <r>
    <s v="TX501560"/>
    <x v="6"/>
    <n v="4"/>
    <n v="54"/>
    <n v="216"/>
    <x v="57"/>
    <x v="59"/>
    <x v="1"/>
    <x v="1"/>
    <x v="0"/>
    <x v="0"/>
    <x v="1"/>
    <n v="2"/>
    <n v="9"/>
    <x v="1"/>
  </r>
  <r>
    <s v="TX501561"/>
    <x v="8"/>
    <n v="1"/>
    <n v="52.1"/>
    <n v="52.1"/>
    <x v="57"/>
    <x v="58"/>
    <x v="1"/>
    <x v="2"/>
    <x v="2"/>
    <x v="0"/>
    <x v="2"/>
    <n v="1"/>
    <n v="9"/>
    <x v="1"/>
  </r>
  <r>
    <s v="TX501562"/>
    <x v="19"/>
    <n v="2"/>
    <n v="27"/>
    <n v="54"/>
    <x v="57"/>
    <x v="57"/>
    <x v="3"/>
    <x v="2"/>
    <x v="0"/>
    <x v="0"/>
    <x v="22"/>
    <n v="3"/>
    <n v="9"/>
    <x v="3"/>
  </r>
  <r>
    <s v="TX501563"/>
    <x v="12"/>
    <n v="10"/>
    <n v="31"/>
    <n v="310"/>
    <x v="58"/>
    <x v="59"/>
    <x v="1"/>
    <x v="3"/>
    <x v="2"/>
    <x v="0"/>
    <x v="22"/>
    <n v="1"/>
    <n v="9"/>
    <x v="1"/>
  </r>
  <r>
    <s v="TX501564"/>
    <x v="10"/>
    <n v="2"/>
    <n v="46.7"/>
    <n v="93.4"/>
    <x v="58"/>
    <x v="58"/>
    <x v="1"/>
    <x v="0"/>
    <x v="0"/>
    <x v="0"/>
    <x v="34"/>
    <n v="0"/>
    <n v="9"/>
    <x v="1"/>
  </r>
  <r>
    <s v="TX501565"/>
    <x v="6"/>
    <n v="1"/>
    <n v="144.69999999999999"/>
    <n v="144.69999999999999"/>
    <x v="58"/>
    <x v="62"/>
    <x v="0"/>
    <x v="0"/>
    <x v="2"/>
    <x v="0"/>
    <x v="3"/>
    <n v="3"/>
    <n v="9"/>
    <x v="0"/>
  </r>
  <r>
    <s v="TX501566"/>
    <x v="2"/>
    <n v="9"/>
    <n v="90.9"/>
    <n v="818.1"/>
    <x v="58"/>
    <x v="59"/>
    <x v="0"/>
    <x v="0"/>
    <x v="2"/>
    <x v="0"/>
    <x v="3"/>
    <n v="1"/>
    <n v="9"/>
    <x v="0"/>
  </r>
  <r>
    <s v="TX501567"/>
    <x v="1"/>
    <n v="2"/>
    <n v="75.8"/>
    <n v="151.6"/>
    <x v="58"/>
    <x v="59"/>
    <x v="1"/>
    <x v="2"/>
    <x v="1"/>
    <x v="0"/>
    <x v="3"/>
    <n v="1"/>
    <n v="9"/>
    <x v="1"/>
  </r>
  <r>
    <s v="TX501568"/>
    <x v="7"/>
    <n v="5"/>
    <n v="57.9"/>
    <n v="289.5"/>
    <x v="58"/>
    <x v="57"/>
    <x v="0"/>
    <x v="2"/>
    <x v="2"/>
    <x v="0"/>
    <x v="3"/>
    <n v="2"/>
    <n v="9"/>
    <x v="0"/>
  </r>
  <r>
    <s v="TX501569"/>
    <x v="8"/>
    <n v="5"/>
    <n v="44.8"/>
    <n v="224"/>
    <x v="58"/>
    <x v="59"/>
    <x v="1"/>
    <x v="3"/>
    <x v="2"/>
    <x v="0"/>
    <x v="3"/>
    <n v="1"/>
    <n v="9"/>
    <x v="1"/>
  </r>
  <r>
    <s v="TX501570"/>
    <x v="9"/>
    <n v="3"/>
    <n v="44.2"/>
    <n v="132.60000000000002"/>
    <x v="58"/>
    <x v="61"/>
    <x v="0"/>
    <x v="2"/>
    <x v="2"/>
    <x v="0"/>
    <x v="3"/>
    <n v="4"/>
    <n v="9"/>
    <x v="0"/>
  </r>
  <r>
    <s v="TX501571"/>
    <x v="5"/>
    <n v="5"/>
    <n v="53.5"/>
    <n v="267.5"/>
    <x v="58"/>
    <x v="57"/>
    <x v="0"/>
    <x v="0"/>
    <x v="0"/>
    <x v="0"/>
    <x v="37"/>
    <n v="2"/>
    <n v="9"/>
    <x v="0"/>
  </r>
  <r>
    <s v="TX501572"/>
    <x v="6"/>
    <n v="2"/>
    <n v="72.2"/>
    <n v="144.4"/>
    <x v="58"/>
    <x v="59"/>
    <x v="0"/>
    <x v="0"/>
    <x v="2"/>
    <x v="0"/>
    <x v="25"/>
    <n v="1"/>
    <n v="9"/>
    <x v="0"/>
  </r>
  <r>
    <s v="TX501573"/>
    <x v="6"/>
    <n v="4"/>
    <n v="62.4"/>
    <n v="249.6"/>
    <x v="58"/>
    <x v="62"/>
    <x v="1"/>
    <x v="0"/>
    <x v="1"/>
    <x v="0"/>
    <x v="23"/>
    <n v="3"/>
    <n v="9"/>
    <x v="1"/>
  </r>
  <r>
    <s v="TX501574"/>
    <x v="10"/>
    <n v="5"/>
    <n v="24.7"/>
    <n v="123.5"/>
    <x v="58"/>
    <x v="59"/>
    <x v="1"/>
    <x v="0"/>
    <x v="0"/>
    <x v="0"/>
    <x v="6"/>
    <n v="1"/>
    <n v="9"/>
    <x v="1"/>
  </r>
  <r>
    <s v="TX501575"/>
    <x v="1"/>
    <n v="5"/>
    <n v="61.7"/>
    <n v="308.5"/>
    <x v="58"/>
    <x v="57"/>
    <x v="1"/>
    <x v="2"/>
    <x v="0"/>
    <x v="0"/>
    <x v="8"/>
    <n v="2"/>
    <n v="9"/>
    <x v="1"/>
  </r>
  <r>
    <s v="TX501576"/>
    <x v="8"/>
    <n v="5"/>
    <n v="18.2"/>
    <n v="91"/>
    <x v="58"/>
    <x v="57"/>
    <x v="1"/>
    <x v="3"/>
    <x v="0"/>
    <x v="0"/>
    <x v="8"/>
    <n v="2"/>
    <n v="9"/>
    <x v="1"/>
  </r>
  <r>
    <s v="TX501577"/>
    <x v="10"/>
    <n v="4"/>
    <n v="37.200000000000003"/>
    <n v="148.80000000000001"/>
    <x v="58"/>
    <x v="66"/>
    <x v="1"/>
    <x v="0"/>
    <x v="0"/>
    <x v="0"/>
    <x v="8"/>
    <n v="6"/>
    <n v="9"/>
    <x v="1"/>
  </r>
  <r>
    <s v="TX501578"/>
    <x v="9"/>
    <n v="3"/>
    <n v="53.5"/>
    <n v="160.5"/>
    <x v="58"/>
    <x v="57"/>
    <x v="1"/>
    <x v="1"/>
    <x v="2"/>
    <x v="0"/>
    <x v="9"/>
    <n v="2"/>
    <n v="9"/>
    <x v="1"/>
  </r>
  <r>
    <s v="TX501579"/>
    <x v="8"/>
    <n v="3"/>
    <n v="43.6"/>
    <n v="130.80000000000001"/>
    <x v="58"/>
    <x v="58"/>
    <x v="1"/>
    <x v="0"/>
    <x v="0"/>
    <x v="0"/>
    <x v="9"/>
    <n v="0"/>
    <n v="9"/>
    <x v="1"/>
  </r>
  <r>
    <s v="TX501580"/>
    <x v="1"/>
    <n v="10"/>
    <n v="135"/>
    <n v="1350"/>
    <x v="58"/>
    <x v="57"/>
    <x v="1"/>
    <x v="0"/>
    <x v="2"/>
    <x v="0"/>
    <x v="9"/>
    <n v="2"/>
    <n v="9"/>
    <x v="1"/>
  </r>
  <r>
    <s v="TX501581"/>
    <x v="8"/>
    <n v="5"/>
    <n v="38.5"/>
    <n v="192.5"/>
    <x v="58"/>
    <x v="58"/>
    <x v="0"/>
    <x v="4"/>
    <x v="2"/>
    <x v="0"/>
    <x v="10"/>
    <n v="0"/>
    <n v="9"/>
    <x v="0"/>
  </r>
  <r>
    <s v="TX501582"/>
    <x v="9"/>
    <n v="2"/>
    <n v="24"/>
    <n v="48"/>
    <x v="58"/>
    <x v="63"/>
    <x v="1"/>
    <x v="0"/>
    <x v="0"/>
    <x v="0"/>
    <x v="11"/>
    <n v="5"/>
    <n v="9"/>
    <x v="1"/>
  </r>
  <r>
    <s v="TX501583"/>
    <x v="4"/>
    <n v="3"/>
    <n v="28.2"/>
    <n v="84.6"/>
    <x v="58"/>
    <x v="57"/>
    <x v="0"/>
    <x v="0"/>
    <x v="3"/>
    <x v="0"/>
    <x v="18"/>
    <n v="2"/>
    <n v="9"/>
    <x v="0"/>
  </r>
  <r>
    <s v="TX501584"/>
    <x v="7"/>
    <n v="3"/>
    <n v="37.4"/>
    <n v="112.19999999999999"/>
    <x v="58"/>
    <x v="59"/>
    <x v="1"/>
    <x v="3"/>
    <x v="0"/>
    <x v="0"/>
    <x v="1"/>
    <n v="1"/>
    <n v="9"/>
    <x v="1"/>
  </r>
  <r>
    <s v="TX501585"/>
    <x v="6"/>
    <n v="3"/>
    <n v="53.5"/>
    <n v="160.5"/>
    <x v="58"/>
    <x v="62"/>
    <x v="2"/>
    <x v="4"/>
    <x v="4"/>
    <x v="0"/>
    <x v="1"/>
    <n v="3"/>
    <n v="9"/>
    <x v="2"/>
  </r>
  <r>
    <s v="TX501586"/>
    <x v="11"/>
    <n v="5"/>
    <n v="36.200000000000003"/>
    <n v="181"/>
    <x v="58"/>
    <x v="59"/>
    <x v="0"/>
    <x v="1"/>
    <x v="2"/>
    <x v="0"/>
    <x v="33"/>
    <n v="1"/>
    <n v="9"/>
    <x v="0"/>
  </r>
  <r>
    <s v="TX501587"/>
    <x v="0"/>
    <n v="8"/>
    <n v="31.9"/>
    <n v="255.2"/>
    <x v="58"/>
    <x v="59"/>
    <x v="1"/>
    <x v="4"/>
    <x v="0"/>
    <x v="0"/>
    <x v="3"/>
    <n v="1"/>
    <n v="9"/>
    <x v="1"/>
  </r>
  <r>
    <s v="TX501588"/>
    <x v="8"/>
    <n v="3"/>
    <n v="21.3"/>
    <n v="63.900000000000006"/>
    <x v="58"/>
    <x v="59"/>
    <x v="0"/>
    <x v="0"/>
    <x v="2"/>
    <x v="0"/>
    <x v="3"/>
    <n v="1"/>
    <n v="9"/>
    <x v="0"/>
  </r>
  <r>
    <s v="TX501589"/>
    <x v="8"/>
    <n v="1"/>
    <n v="36.299999999999997"/>
    <n v="36.299999999999997"/>
    <x v="58"/>
    <x v="57"/>
    <x v="3"/>
    <x v="4"/>
    <x v="0"/>
    <x v="0"/>
    <x v="3"/>
    <n v="2"/>
    <n v="9"/>
    <x v="3"/>
  </r>
  <r>
    <s v="TX501590"/>
    <x v="6"/>
    <n v="3"/>
    <n v="110.5"/>
    <n v="331.5"/>
    <x v="58"/>
    <x v="59"/>
    <x v="1"/>
    <x v="0"/>
    <x v="3"/>
    <x v="0"/>
    <x v="3"/>
    <n v="1"/>
    <n v="9"/>
    <x v="1"/>
  </r>
  <r>
    <s v="TX501591"/>
    <x v="10"/>
    <n v="7"/>
    <n v="32.6"/>
    <n v="228.20000000000002"/>
    <x v="58"/>
    <x v="57"/>
    <x v="1"/>
    <x v="0"/>
    <x v="1"/>
    <x v="0"/>
    <x v="3"/>
    <n v="2"/>
    <n v="9"/>
    <x v="1"/>
  </r>
  <r>
    <s v="TX501592"/>
    <x v="5"/>
    <n v="3"/>
    <n v="55.6"/>
    <n v="166.8"/>
    <x v="59"/>
    <x v="67"/>
    <x v="1"/>
    <x v="0"/>
    <x v="0"/>
    <x v="0"/>
    <x v="3"/>
    <n v="13"/>
    <n v="9"/>
    <x v="1"/>
  </r>
  <r>
    <s v="TX501593"/>
    <x v="1"/>
    <n v="4"/>
    <n v="38"/>
    <n v="152"/>
    <x v="59"/>
    <x v="57"/>
    <x v="1"/>
    <x v="3"/>
    <x v="2"/>
    <x v="0"/>
    <x v="5"/>
    <n v="1"/>
    <n v="9"/>
    <x v="1"/>
  </r>
  <r>
    <s v="TX501594"/>
    <x v="10"/>
    <n v="2"/>
    <n v="51.8"/>
    <n v="103.6"/>
    <x v="59"/>
    <x v="68"/>
    <x v="0"/>
    <x v="1"/>
    <x v="4"/>
    <x v="0"/>
    <x v="6"/>
    <n v="6"/>
    <n v="9"/>
    <x v="0"/>
  </r>
  <r>
    <s v="TX501595"/>
    <x v="11"/>
    <n v="8"/>
    <n v="28.7"/>
    <n v="229.6"/>
    <x v="59"/>
    <x v="66"/>
    <x v="1"/>
    <x v="0"/>
    <x v="0"/>
    <x v="0"/>
    <x v="6"/>
    <n v="5"/>
    <n v="9"/>
    <x v="1"/>
  </r>
  <r>
    <s v="TX501596"/>
    <x v="6"/>
    <n v="12"/>
    <n v="52.2"/>
    <n v="626.40000000000009"/>
    <x v="59"/>
    <x v="59"/>
    <x v="0"/>
    <x v="0"/>
    <x v="1"/>
    <x v="0"/>
    <x v="6"/>
    <n v="0"/>
    <n v="9"/>
    <x v="0"/>
  </r>
  <r>
    <s v="TX501597"/>
    <x v="1"/>
    <n v="2"/>
    <n v="68.2"/>
    <n v="136.4"/>
    <x v="59"/>
    <x v="57"/>
    <x v="2"/>
    <x v="2"/>
    <x v="0"/>
    <x v="0"/>
    <x v="7"/>
    <n v="1"/>
    <n v="9"/>
    <x v="2"/>
  </r>
  <r>
    <s v="TX501598"/>
    <x v="0"/>
    <n v="3"/>
    <n v="34"/>
    <n v="102"/>
    <x v="59"/>
    <x v="63"/>
    <x v="1"/>
    <x v="0"/>
    <x v="0"/>
    <x v="0"/>
    <x v="8"/>
    <n v="4"/>
    <n v="9"/>
    <x v="1"/>
  </r>
  <r>
    <s v="TX501599"/>
    <x v="8"/>
    <n v="3"/>
    <n v="19.100000000000001"/>
    <n v="57.300000000000004"/>
    <x v="59"/>
    <x v="57"/>
    <x v="1"/>
    <x v="4"/>
    <x v="0"/>
    <x v="0"/>
    <x v="8"/>
    <n v="1"/>
    <n v="9"/>
    <x v="1"/>
  </r>
  <r>
    <s v="TX501600"/>
    <x v="5"/>
    <n v="8"/>
    <n v="34"/>
    <n v="272"/>
    <x v="59"/>
    <x v="60"/>
    <x v="1"/>
    <x v="4"/>
    <x v="0"/>
    <x v="0"/>
    <x v="8"/>
    <n v="8"/>
    <n v="9"/>
    <x v="1"/>
  </r>
  <r>
    <s v="TX501601"/>
    <x v="12"/>
    <n v="2"/>
    <n v="109.1"/>
    <n v="218.2"/>
    <x v="59"/>
    <x v="62"/>
    <x v="0"/>
    <x v="0"/>
    <x v="2"/>
    <x v="0"/>
    <x v="8"/>
    <n v="2"/>
    <n v="9"/>
    <x v="0"/>
  </r>
  <r>
    <s v="TX501602"/>
    <x v="18"/>
    <n v="2"/>
    <n v="64.8"/>
    <n v="129.6"/>
    <x v="59"/>
    <x v="62"/>
    <x v="0"/>
    <x v="0"/>
    <x v="2"/>
    <x v="0"/>
    <x v="8"/>
    <n v="2"/>
    <n v="9"/>
    <x v="0"/>
  </r>
  <r>
    <s v="TX501603"/>
    <x v="10"/>
    <n v="2"/>
    <n v="21.1"/>
    <n v="42.2"/>
    <x v="59"/>
    <x v="59"/>
    <x v="1"/>
    <x v="1"/>
    <x v="0"/>
    <x v="0"/>
    <x v="11"/>
    <n v="0"/>
    <n v="9"/>
    <x v="1"/>
  </r>
  <r>
    <s v="TX501604"/>
    <x v="0"/>
    <n v="8"/>
    <n v="21.3"/>
    <n v="170.4"/>
    <x v="59"/>
    <x v="62"/>
    <x v="0"/>
    <x v="3"/>
    <x v="1"/>
    <x v="0"/>
    <x v="18"/>
    <n v="2"/>
    <n v="9"/>
    <x v="0"/>
  </r>
  <r>
    <s v="TX501605"/>
    <x v="9"/>
    <n v="3"/>
    <n v="24.3"/>
    <n v="72.900000000000006"/>
    <x v="59"/>
    <x v="57"/>
    <x v="0"/>
    <x v="1"/>
    <x v="0"/>
    <x v="0"/>
    <x v="19"/>
    <n v="1"/>
    <n v="9"/>
    <x v="0"/>
  </r>
  <r>
    <s v="TX501606"/>
    <x v="8"/>
    <n v="1"/>
    <n v="43.3"/>
    <n v="43.3"/>
    <x v="59"/>
    <x v="63"/>
    <x v="0"/>
    <x v="1"/>
    <x v="1"/>
    <x v="0"/>
    <x v="13"/>
    <n v="4"/>
    <n v="9"/>
    <x v="0"/>
  </r>
  <r>
    <s v="TX501607"/>
    <x v="9"/>
    <n v="3"/>
    <n v="41"/>
    <n v="123"/>
    <x v="59"/>
    <x v="57"/>
    <x v="1"/>
    <x v="3"/>
    <x v="4"/>
    <x v="0"/>
    <x v="21"/>
    <n v="1"/>
    <n v="9"/>
    <x v="1"/>
  </r>
  <r>
    <s v="TX501608"/>
    <x v="16"/>
    <n v="3"/>
    <n v="54.1"/>
    <n v="162.30000000000001"/>
    <x v="59"/>
    <x v="62"/>
    <x v="1"/>
    <x v="4"/>
    <x v="0"/>
    <x v="0"/>
    <x v="21"/>
    <n v="2"/>
    <n v="9"/>
    <x v="1"/>
  </r>
  <r>
    <s v="TX501609"/>
    <x v="11"/>
    <n v="2"/>
    <n v="39"/>
    <n v="78"/>
    <x v="59"/>
    <x v="57"/>
    <x v="0"/>
    <x v="1"/>
    <x v="2"/>
    <x v="0"/>
    <x v="1"/>
    <n v="1"/>
    <n v="9"/>
    <x v="0"/>
  </r>
  <r>
    <s v="TX501610"/>
    <x v="8"/>
    <n v="2"/>
    <n v="40.299999999999997"/>
    <n v="80.599999999999994"/>
    <x v="59"/>
    <x v="62"/>
    <x v="0"/>
    <x v="3"/>
    <x v="0"/>
    <x v="0"/>
    <x v="27"/>
    <n v="2"/>
    <n v="9"/>
    <x v="0"/>
  </r>
  <r>
    <s v="TX501611"/>
    <x v="8"/>
    <n v="3"/>
    <n v="24.1"/>
    <n v="72.300000000000011"/>
    <x v="59"/>
    <x v="57"/>
    <x v="0"/>
    <x v="0"/>
    <x v="2"/>
    <x v="0"/>
    <x v="34"/>
    <n v="1"/>
    <n v="9"/>
    <x v="0"/>
  </r>
  <r>
    <s v="TX501612"/>
    <x v="6"/>
    <n v="5"/>
    <n v="52.3"/>
    <n v="261.5"/>
    <x v="59"/>
    <x v="57"/>
    <x v="0"/>
    <x v="2"/>
    <x v="0"/>
    <x v="0"/>
    <x v="3"/>
    <n v="1"/>
    <n v="9"/>
    <x v="0"/>
  </r>
  <r>
    <s v="TX501613"/>
    <x v="12"/>
    <n v="4"/>
    <n v="68.8"/>
    <n v="275.2"/>
    <x v="59"/>
    <x v="63"/>
    <x v="1"/>
    <x v="4"/>
    <x v="2"/>
    <x v="0"/>
    <x v="3"/>
    <n v="4"/>
    <n v="9"/>
    <x v="1"/>
  </r>
  <r>
    <s v="TX501614"/>
    <x v="2"/>
    <n v="2"/>
    <n v="128.80000000000001"/>
    <n v="257.60000000000002"/>
    <x v="60"/>
    <x v="63"/>
    <x v="1"/>
    <x v="1"/>
    <x v="1"/>
    <x v="0"/>
    <x v="3"/>
    <n v="3"/>
    <n v="10"/>
    <x v="1"/>
  </r>
  <r>
    <s v="TX501615"/>
    <x v="15"/>
    <n v="5"/>
    <n v="48.2"/>
    <n v="241"/>
    <x v="60"/>
    <x v="61"/>
    <x v="1"/>
    <x v="3"/>
    <x v="0"/>
    <x v="0"/>
    <x v="3"/>
    <n v="2"/>
    <n v="10"/>
    <x v="1"/>
  </r>
  <r>
    <s v="TX501616"/>
    <x v="10"/>
    <n v="1"/>
    <n v="39.700000000000003"/>
    <n v="39.700000000000003"/>
    <x v="60"/>
    <x v="61"/>
    <x v="1"/>
    <x v="0"/>
    <x v="1"/>
    <x v="0"/>
    <x v="3"/>
    <n v="2"/>
    <n v="10"/>
    <x v="1"/>
  </r>
  <r>
    <s v="TX501617"/>
    <x v="9"/>
    <n v="1"/>
    <n v="59.7"/>
    <n v="59.7"/>
    <x v="60"/>
    <x v="63"/>
    <x v="1"/>
    <x v="4"/>
    <x v="0"/>
    <x v="0"/>
    <x v="3"/>
    <n v="3"/>
    <n v="10"/>
    <x v="1"/>
  </r>
  <r>
    <s v="TX501618"/>
    <x v="6"/>
    <n v="1"/>
    <n v="48.3"/>
    <n v="48.3"/>
    <x v="60"/>
    <x v="69"/>
    <x v="3"/>
    <x v="0"/>
    <x v="2"/>
    <x v="0"/>
    <x v="3"/>
    <n v="14"/>
    <n v="10"/>
    <x v="3"/>
  </r>
  <r>
    <s v="TX501619"/>
    <x v="8"/>
    <n v="3"/>
    <n v="45.5"/>
    <n v="136.5"/>
    <x v="60"/>
    <x v="61"/>
    <x v="0"/>
    <x v="2"/>
    <x v="1"/>
    <x v="0"/>
    <x v="3"/>
    <n v="2"/>
    <n v="10"/>
    <x v="0"/>
  </r>
  <r>
    <s v="TX501620"/>
    <x v="9"/>
    <n v="27"/>
    <n v="51"/>
    <n v="1377"/>
    <x v="60"/>
    <x v="57"/>
    <x v="1"/>
    <x v="2"/>
    <x v="0"/>
    <x v="0"/>
    <x v="3"/>
    <n v="0"/>
    <n v="10"/>
    <x v="1"/>
  </r>
  <r>
    <s v="TX501621"/>
    <x v="4"/>
    <n v="6"/>
    <n v="20.399999999999999"/>
    <n v="122.39999999999999"/>
    <x v="60"/>
    <x v="62"/>
    <x v="0"/>
    <x v="2"/>
    <x v="0"/>
    <x v="0"/>
    <x v="3"/>
    <n v="1"/>
    <n v="10"/>
    <x v="0"/>
  </r>
  <r>
    <s v="TX501622"/>
    <x v="10"/>
    <n v="2"/>
    <n v="30.4"/>
    <n v="60.8"/>
    <x v="60"/>
    <x v="61"/>
    <x v="0"/>
    <x v="2"/>
    <x v="0"/>
    <x v="0"/>
    <x v="3"/>
    <n v="2"/>
    <n v="10"/>
    <x v="0"/>
  </r>
  <r>
    <s v="TX501623"/>
    <x v="7"/>
    <n v="2"/>
    <n v="71.5"/>
    <n v="143"/>
    <x v="60"/>
    <x v="66"/>
    <x v="1"/>
    <x v="0"/>
    <x v="0"/>
    <x v="0"/>
    <x v="3"/>
    <n v="4"/>
    <n v="10"/>
    <x v="1"/>
  </r>
  <r>
    <s v="TX501624"/>
    <x v="8"/>
    <n v="6"/>
    <n v="18"/>
    <n v="108"/>
    <x v="60"/>
    <x v="62"/>
    <x v="3"/>
    <x v="1"/>
    <x v="2"/>
    <x v="0"/>
    <x v="6"/>
    <n v="1"/>
    <n v="10"/>
    <x v="3"/>
  </r>
  <r>
    <s v="TX501625"/>
    <x v="15"/>
    <n v="11"/>
    <n v="45.6"/>
    <n v="501.6"/>
    <x v="60"/>
    <x v="62"/>
    <x v="3"/>
    <x v="1"/>
    <x v="1"/>
    <x v="0"/>
    <x v="7"/>
    <n v="1"/>
    <n v="10"/>
    <x v="3"/>
  </r>
  <r>
    <s v="TX501626"/>
    <x v="9"/>
    <n v="1"/>
    <n v="31.8"/>
    <n v="31.8"/>
    <x v="60"/>
    <x v="66"/>
    <x v="1"/>
    <x v="0"/>
    <x v="2"/>
    <x v="0"/>
    <x v="7"/>
    <n v="4"/>
    <n v="10"/>
    <x v="1"/>
  </r>
  <r>
    <s v="TX501627"/>
    <x v="8"/>
    <n v="5"/>
    <n v="19.899999999999999"/>
    <n v="99.5"/>
    <x v="60"/>
    <x v="62"/>
    <x v="1"/>
    <x v="1"/>
    <x v="0"/>
    <x v="0"/>
    <x v="7"/>
    <n v="1"/>
    <n v="10"/>
    <x v="1"/>
  </r>
  <r>
    <s v="TX501628"/>
    <x v="12"/>
    <n v="9"/>
    <n v="52.1"/>
    <n v="468.90000000000003"/>
    <x v="60"/>
    <x v="61"/>
    <x v="0"/>
    <x v="0"/>
    <x v="0"/>
    <x v="0"/>
    <x v="8"/>
    <n v="2"/>
    <n v="10"/>
    <x v="0"/>
  </r>
  <r>
    <s v="TX501629"/>
    <x v="1"/>
    <n v="7"/>
    <n v="45.9"/>
    <n v="321.3"/>
    <x v="60"/>
    <x v="62"/>
    <x v="0"/>
    <x v="0"/>
    <x v="1"/>
    <x v="0"/>
    <x v="8"/>
    <n v="1"/>
    <n v="10"/>
    <x v="0"/>
  </r>
  <r>
    <s v="TX501630"/>
    <x v="1"/>
    <n v="10"/>
    <n v="115.9"/>
    <n v="1159"/>
    <x v="60"/>
    <x v="63"/>
    <x v="1"/>
    <x v="1"/>
    <x v="0"/>
    <x v="0"/>
    <x v="8"/>
    <n v="3"/>
    <n v="10"/>
    <x v="1"/>
  </r>
  <r>
    <s v="TX501631"/>
    <x v="6"/>
    <n v="9"/>
    <n v="86"/>
    <n v="774"/>
    <x v="60"/>
    <x v="68"/>
    <x v="1"/>
    <x v="0"/>
    <x v="1"/>
    <x v="0"/>
    <x v="8"/>
    <n v="5"/>
    <n v="10"/>
    <x v="1"/>
  </r>
  <r>
    <s v="TX501632"/>
    <x v="7"/>
    <n v="7"/>
    <n v="73.599999999999994"/>
    <n v="515.19999999999993"/>
    <x v="60"/>
    <x v="61"/>
    <x v="1"/>
    <x v="0"/>
    <x v="0"/>
    <x v="0"/>
    <x v="17"/>
    <n v="2"/>
    <n v="10"/>
    <x v="1"/>
  </r>
  <r>
    <s v="TX501633"/>
    <x v="10"/>
    <n v="3"/>
    <n v="26.7"/>
    <n v="80.099999999999994"/>
    <x v="60"/>
    <x v="66"/>
    <x v="1"/>
    <x v="0"/>
    <x v="0"/>
    <x v="0"/>
    <x v="11"/>
    <n v="4"/>
    <n v="10"/>
    <x v="1"/>
  </r>
  <r>
    <s v="TX501634"/>
    <x v="8"/>
    <n v="7"/>
    <n v="46.6"/>
    <n v="326.2"/>
    <x v="60"/>
    <x v="61"/>
    <x v="2"/>
    <x v="3"/>
    <x v="0"/>
    <x v="0"/>
    <x v="11"/>
    <n v="2"/>
    <n v="10"/>
    <x v="2"/>
  </r>
  <r>
    <s v="TX501635"/>
    <x v="3"/>
    <n v="3"/>
    <n v="84.6"/>
    <n v="253.79999999999998"/>
    <x v="60"/>
    <x v="61"/>
    <x v="0"/>
    <x v="4"/>
    <x v="0"/>
    <x v="0"/>
    <x v="11"/>
    <n v="2"/>
    <n v="10"/>
    <x v="0"/>
  </r>
  <r>
    <s v="TX501636"/>
    <x v="7"/>
    <n v="14"/>
    <n v="41.5"/>
    <n v="581"/>
    <x v="60"/>
    <x v="69"/>
    <x v="0"/>
    <x v="1"/>
    <x v="0"/>
    <x v="0"/>
    <x v="53"/>
    <n v="14"/>
    <n v="10"/>
    <x v="0"/>
  </r>
  <r>
    <s v="TX501637"/>
    <x v="8"/>
    <n v="1"/>
    <n v="32.799999999999997"/>
    <n v="32.799999999999997"/>
    <x v="60"/>
    <x v="63"/>
    <x v="0"/>
    <x v="0"/>
    <x v="2"/>
    <x v="0"/>
    <x v="30"/>
    <n v="3"/>
    <n v="10"/>
    <x v="0"/>
  </r>
  <r>
    <s v="TX501638"/>
    <x v="4"/>
    <n v="7"/>
    <n v="46.7"/>
    <n v="326.90000000000003"/>
    <x v="60"/>
    <x v="61"/>
    <x v="3"/>
    <x v="0"/>
    <x v="2"/>
    <x v="0"/>
    <x v="18"/>
    <n v="2"/>
    <n v="10"/>
    <x v="3"/>
  </r>
  <r>
    <s v="TX501639"/>
    <x v="15"/>
    <n v="7"/>
    <n v="21"/>
    <n v="147"/>
    <x v="60"/>
    <x v="63"/>
    <x v="0"/>
    <x v="2"/>
    <x v="1"/>
    <x v="0"/>
    <x v="21"/>
    <n v="3"/>
    <n v="10"/>
    <x v="0"/>
  </r>
  <r>
    <s v="TX501640"/>
    <x v="5"/>
    <n v="7"/>
    <n v="29.4"/>
    <n v="205.79999999999998"/>
    <x v="60"/>
    <x v="57"/>
    <x v="0"/>
    <x v="3"/>
    <x v="2"/>
    <x v="0"/>
    <x v="21"/>
    <n v="0"/>
    <n v="10"/>
    <x v="0"/>
  </r>
  <r>
    <s v="TX501641"/>
    <x v="15"/>
    <n v="2"/>
    <n v="32.299999999999997"/>
    <n v="64.599999999999994"/>
    <x v="60"/>
    <x v="62"/>
    <x v="0"/>
    <x v="0"/>
    <x v="2"/>
    <x v="0"/>
    <x v="21"/>
    <n v="1"/>
    <n v="10"/>
    <x v="0"/>
  </r>
  <r>
    <s v="TX501642"/>
    <x v="6"/>
    <n v="1"/>
    <n v="42.2"/>
    <n v="42.2"/>
    <x v="61"/>
    <x v="63"/>
    <x v="1"/>
    <x v="0"/>
    <x v="2"/>
    <x v="0"/>
    <x v="21"/>
    <n v="2"/>
    <n v="10"/>
    <x v="1"/>
  </r>
  <r>
    <s v="TX501643"/>
    <x v="6"/>
    <n v="1"/>
    <n v="53.7"/>
    <n v="53.7"/>
    <x v="61"/>
    <x v="63"/>
    <x v="0"/>
    <x v="1"/>
    <x v="1"/>
    <x v="0"/>
    <x v="1"/>
    <n v="2"/>
    <n v="10"/>
    <x v="0"/>
  </r>
  <r>
    <s v="TX501644"/>
    <x v="2"/>
    <n v="2"/>
    <n v="123.9"/>
    <n v="247.8"/>
    <x v="61"/>
    <x v="66"/>
    <x v="0"/>
    <x v="2"/>
    <x v="0"/>
    <x v="0"/>
    <x v="1"/>
    <n v="3"/>
    <n v="10"/>
    <x v="0"/>
  </r>
  <r>
    <s v="TX501645"/>
    <x v="4"/>
    <n v="3"/>
    <n v="35.9"/>
    <n v="107.69999999999999"/>
    <x v="61"/>
    <x v="63"/>
    <x v="0"/>
    <x v="2"/>
    <x v="0"/>
    <x v="0"/>
    <x v="22"/>
    <n v="2"/>
    <n v="10"/>
    <x v="0"/>
  </r>
  <r>
    <s v="TX501646"/>
    <x v="4"/>
    <n v="2"/>
    <n v="23.6"/>
    <n v="47.2"/>
    <x v="61"/>
    <x v="66"/>
    <x v="0"/>
    <x v="0"/>
    <x v="2"/>
    <x v="0"/>
    <x v="3"/>
    <n v="3"/>
    <n v="10"/>
    <x v="0"/>
  </r>
  <r>
    <s v="TX501647"/>
    <x v="15"/>
    <n v="35"/>
    <n v="45.7"/>
    <n v="1599.5"/>
    <x v="61"/>
    <x v="61"/>
    <x v="0"/>
    <x v="0"/>
    <x v="1"/>
    <x v="0"/>
    <x v="3"/>
    <n v="1"/>
    <n v="10"/>
    <x v="0"/>
  </r>
  <r>
    <s v="TX501648"/>
    <x v="6"/>
    <n v="11"/>
    <n v="118.3"/>
    <n v="1301.3"/>
    <x v="61"/>
    <x v="63"/>
    <x v="0"/>
    <x v="4"/>
    <x v="2"/>
    <x v="0"/>
    <x v="3"/>
    <n v="2"/>
    <n v="10"/>
    <x v="0"/>
  </r>
  <r>
    <s v="TX501649"/>
    <x v="19"/>
    <n v="1"/>
    <n v="36"/>
    <n v="36"/>
    <x v="61"/>
    <x v="61"/>
    <x v="1"/>
    <x v="0"/>
    <x v="1"/>
    <x v="0"/>
    <x v="3"/>
    <n v="1"/>
    <n v="10"/>
    <x v="1"/>
  </r>
  <r>
    <s v="TX501650"/>
    <x v="8"/>
    <n v="2"/>
    <n v="37.1"/>
    <n v="74.2"/>
    <x v="61"/>
    <x v="66"/>
    <x v="1"/>
    <x v="2"/>
    <x v="0"/>
    <x v="0"/>
    <x v="3"/>
    <n v="3"/>
    <n v="10"/>
    <x v="1"/>
  </r>
  <r>
    <s v="TX501651"/>
    <x v="18"/>
    <n v="3"/>
    <n v="45.1"/>
    <n v="135.30000000000001"/>
    <x v="61"/>
    <x v="63"/>
    <x v="1"/>
    <x v="1"/>
    <x v="2"/>
    <x v="0"/>
    <x v="3"/>
    <n v="2"/>
    <n v="10"/>
    <x v="1"/>
  </r>
  <r>
    <s v="TX501652"/>
    <x v="5"/>
    <n v="16"/>
    <n v="37.9"/>
    <n v="606.4"/>
    <x v="61"/>
    <x v="61"/>
    <x v="1"/>
    <x v="3"/>
    <x v="2"/>
    <x v="0"/>
    <x v="3"/>
    <n v="1"/>
    <n v="10"/>
    <x v="1"/>
  </r>
  <r>
    <s v="TX501653"/>
    <x v="2"/>
    <n v="2"/>
    <n v="121.6"/>
    <n v="243.2"/>
    <x v="61"/>
    <x v="66"/>
    <x v="0"/>
    <x v="3"/>
    <x v="2"/>
    <x v="0"/>
    <x v="3"/>
    <n v="3"/>
    <n v="10"/>
    <x v="0"/>
  </r>
  <r>
    <s v="TX501654"/>
    <x v="5"/>
    <n v="7"/>
    <n v="38.200000000000003"/>
    <n v="267.40000000000003"/>
    <x v="61"/>
    <x v="66"/>
    <x v="1"/>
    <x v="0"/>
    <x v="0"/>
    <x v="0"/>
    <x v="3"/>
    <n v="3"/>
    <n v="10"/>
    <x v="1"/>
  </r>
  <r>
    <s v="TX501655"/>
    <x v="17"/>
    <n v="2"/>
    <n v="37.200000000000003"/>
    <n v="74.400000000000006"/>
    <x v="61"/>
    <x v="66"/>
    <x v="0"/>
    <x v="4"/>
    <x v="0"/>
    <x v="0"/>
    <x v="3"/>
    <n v="3"/>
    <n v="10"/>
    <x v="0"/>
  </r>
  <r>
    <s v="TX501656"/>
    <x v="2"/>
    <n v="4"/>
    <n v="115.7"/>
    <n v="462.8"/>
    <x v="61"/>
    <x v="66"/>
    <x v="1"/>
    <x v="1"/>
    <x v="0"/>
    <x v="0"/>
    <x v="3"/>
    <n v="3"/>
    <n v="10"/>
    <x v="1"/>
  </r>
  <r>
    <s v="TX501657"/>
    <x v="2"/>
    <n v="6"/>
    <n v="99.4"/>
    <n v="596.40000000000009"/>
    <x v="61"/>
    <x v="66"/>
    <x v="0"/>
    <x v="0"/>
    <x v="2"/>
    <x v="0"/>
    <x v="3"/>
    <n v="3"/>
    <n v="10"/>
    <x v="0"/>
  </r>
  <r>
    <s v="TX501658"/>
    <x v="11"/>
    <n v="1"/>
    <n v="38.700000000000003"/>
    <n v="38.700000000000003"/>
    <x v="61"/>
    <x v="61"/>
    <x v="1"/>
    <x v="2"/>
    <x v="0"/>
    <x v="0"/>
    <x v="25"/>
    <n v="1"/>
    <n v="10"/>
    <x v="1"/>
  </r>
  <r>
    <s v="TX501659"/>
    <x v="4"/>
    <n v="2"/>
    <n v="35.5"/>
    <n v="71"/>
    <x v="61"/>
    <x v="66"/>
    <x v="0"/>
    <x v="0"/>
    <x v="2"/>
    <x v="0"/>
    <x v="25"/>
    <n v="3"/>
    <n v="10"/>
    <x v="0"/>
  </r>
  <r>
    <s v="TX501660"/>
    <x v="2"/>
    <n v="4"/>
    <n v="93.3"/>
    <n v="373.2"/>
    <x v="61"/>
    <x v="66"/>
    <x v="1"/>
    <x v="0"/>
    <x v="2"/>
    <x v="0"/>
    <x v="6"/>
    <n v="3"/>
    <n v="10"/>
    <x v="1"/>
  </r>
  <r>
    <s v="TX501661"/>
    <x v="16"/>
    <n v="1"/>
    <n v="31.4"/>
    <n v="31.4"/>
    <x v="61"/>
    <x v="70"/>
    <x v="1"/>
    <x v="2"/>
    <x v="2"/>
    <x v="0"/>
    <x v="6"/>
    <n v="5"/>
    <n v="10"/>
    <x v="1"/>
  </r>
  <r>
    <s v="TX501662"/>
    <x v="1"/>
    <n v="1"/>
    <n v="85.9"/>
    <n v="85.9"/>
    <x v="61"/>
    <x v="66"/>
    <x v="0"/>
    <x v="1"/>
    <x v="0"/>
    <x v="0"/>
    <x v="6"/>
    <n v="3"/>
    <n v="10"/>
    <x v="0"/>
  </r>
  <r>
    <s v="TX501663"/>
    <x v="6"/>
    <n v="8"/>
    <n v="41.7"/>
    <n v="333.6"/>
    <x v="61"/>
    <x v="71"/>
    <x v="0"/>
    <x v="0"/>
    <x v="2"/>
    <x v="0"/>
    <x v="7"/>
    <n v="8"/>
    <n v="10"/>
    <x v="0"/>
  </r>
  <r>
    <s v="TX501664"/>
    <x v="8"/>
    <n v="4"/>
    <n v="31.5"/>
    <n v="126"/>
    <x v="61"/>
    <x v="61"/>
    <x v="1"/>
    <x v="0"/>
    <x v="0"/>
    <x v="0"/>
    <x v="7"/>
    <n v="1"/>
    <n v="10"/>
    <x v="1"/>
  </r>
  <r>
    <s v="TX501665"/>
    <x v="8"/>
    <n v="2"/>
    <n v="36.299999999999997"/>
    <n v="72.599999999999994"/>
    <x v="61"/>
    <x v="61"/>
    <x v="1"/>
    <x v="0"/>
    <x v="4"/>
    <x v="0"/>
    <x v="8"/>
    <n v="1"/>
    <n v="10"/>
    <x v="1"/>
  </r>
  <r>
    <s v="TX501666"/>
    <x v="8"/>
    <n v="3"/>
    <n v="33.4"/>
    <n v="100.19999999999999"/>
    <x v="61"/>
    <x v="61"/>
    <x v="1"/>
    <x v="3"/>
    <x v="0"/>
    <x v="0"/>
    <x v="17"/>
    <n v="1"/>
    <n v="10"/>
    <x v="1"/>
  </r>
  <r>
    <s v="TX501667"/>
    <x v="2"/>
    <n v="3"/>
    <n v="65.2"/>
    <n v="195.60000000000002"/>
    <x v="61"/>
    <x v="61"/>
    <x v="1"/>
    <x v="2"/>
    <x v="2"/>
    <x v="0"/>
    <x v="26"/>
    <n v="1"/>
    <n v="10"/>
    <x v="1"/>
  </r>
  <r>
    <s v="TX501668"/>
    <x v="8"/>
    <n v="9"/>
    <n v="65.5"/>
    <n v="589.5"/>
    <x v="61"/>
    <x v="66"/>
    <x v="1"/>
    <x v="0"/>
    <x v="2"/>
    <x v="0"/>
    <x v="9"/>
    <n v="3"/>
    <n v="10"/>
    <x v="1"/>
  </r>
  <r>
    <s v="TX501669"/>
    <x v="6"/>
    <n v="3"/>
    <n v="52.8"/>
    <n v="158.39999999999998"/>
    <x v="61"/>
    <x v="66"/>
    <x v="0"/>
    <x v="2"/>
    <x v="0"/>
    <x v="0"/>
    <x v="9"/>
    <n v="3"/>
    <n v="10"/>
    <x v="0"/>
  </r>
  <r>
    <s v="TX501670"/>
    <x v="9"/>
    <n v="5"/>
    <n v="24"/>
    <n v="120"/>
    <x v="61"/>
    <x v="68"/>
    <x v="0"/>
    <x v="0"/>
    <x v="1"/>
    <x v="0"/>
    <x v="11"/>
    <n v="4"/>
    <n v="10"/>
    <x v="0"/>
  </r>
  <r>
    <s v="TX501671"/>
    <x v="3"/>
    <n v="3"/>
    <n v="51.2"/>
    <n v="153.60000000000002"/>
    <x v="61"/>
    <x v="61"/>
    <x v="1"/>
    <x v="0"/>
    <x v="0"/>
    <x v="0"/>
    <x v="32"/>
    <n v="1"/>
    <n v="10"/>
    <x v="1"/>
  </r>
  <r>
    <s v="TX501672"/>
    <x v="5"/>
    <n v="3"/>
    <n v="28.3"/>
    <n v="84.9"/>
    <x v="61"/>
    <x v="63"/>
    <x v="0"/>
    <x v="4"/>
    <x v="0"/>
    <x v="0"/>
    <x v="19"/>
    <n v="2"/>
    <n v="10"/>
    <x v="0"/>
  </r>
  <r>
    <s v="TX501673"/>
    <x v="6"/>
    <n v="3"/>
    <n v="42.3"/>
    <n v="126.89999999999999"/>
    <x v="61"/>
    <x v="62"/>
    <x v="1"/>
    <x v="2"/>
    <x v="1"/>
    <x v="0"/>
    <x v="19"/>
    <n v="0"/>
    <n v="10"/>
    <x v="1"/>
  </r>
  <r>
    <s v="TX501674"/>
    <x v="2"/>
    <n v="8"/>
    <n v="163.30000000000001"/>
    <n v="1306.4000000000001"/>
    <x v="62"/>
    <x v="63"/>
    <x v="1"/>
    <x v="1"/>
    <x v="0"/>
    <x v="0"/>
    <x v="13"/>
    <n v="1"/>
    <n v="10"/>
    <x v="1"/>
  </r>
  <r>
    <s v="TX501675"/>
    <x v="6"/>
    <n v="7"/>
    <n v="47.3"/>
    <n v="331.09999999999997"/>
    <x v="62"/>
    <x v="68"/>
    <x v="1"/>
    <x v="4"/>
    <x v="1"/>
    <x v="0"/>
    <x v="21"/>
    <n v="3"/>
    <n v="10"/>
    <x v="1"/>
  </r>
  <r>
    <s v="TX501676"/>
    <x v="8"/>
    <n v="16"/>
    <n v="27.3"/>
    <n v="436.8"/>
    <x v="62"/>
    <x v="63"/>
    <x v="1"/>
    <x v="2"/>
    <x v="0"/>
    <x v="0"/>
    <x v="21"/>
    <n v="1"/>
    <n v="10"/>
    <x v="1"/>
  </r>
  <r>
    <s v="TX501677"/>
    <x v="10"/>
    <n v="6"/>
    <n v="34.9"/>
    <n v="209.39999999999998"/>
    <x v="62"/>
    <x v="72"/>
    <x v="1"/>
    <x v="0"/>
    <x v="0"/>
    <x v="0"/>
    <x v="21"/>
    <n v="11"/>
    <n v="10"/>
    <x v="1"/>
  </r>
  <r>
    <s v="TX501678"/>
    <x v="6"/>
    <n v="2"/>
    <n v="53.9"/>
    <n v="107.8"/>
    <x v="62"/>
    <x v="68"/>
    <x v="3"/>
    <x v="0"/>
    <x v="4"/>
    <x v="0"/>
    <x v="1"/>
    <n v="3"/>
    <n v="10"/>
    <x v="3"/>
  </r>
  <r>
    <s v="TX501679"/>
    <x v="2"/>
    <n v="2"/>
    <n v="87.2"/>
    <n v="174.4"/>
    <x v="62"/>
    <x v="63"/>
    <x v="1"/>
    <x v="0"/>
    <x v="1"/>
    <x v="0"/>
    <x v="1"/>
    <n v="1"/>
    <n v="10"/>
    <x v="1"/>
  </r>
  <r>
    <s v="TX501680"/>
    <x v="15"/>
    <n v="1"/>
    <n v="58.8"/>
    <n v="58.8"/>
    <x v="62"/>
    <x v="66"/>
    <x v="1"/>
    <x v="2"/>
    <x v="0"/>
    <x v="0"/>
    <x v="44"/>
    <n v="2"/>
    <n v="10"/>
    <x v="1"/>
  </r>
  <r>
    <s v="TX501681"/>
    <x v="2"/>
    <n v="7"/>
    <n v="125.5"/>
    <n v="878.5"/>
    <x v="62"/>
    <x v="63"/>
    <x v="0"/>
    <x v="2"/>
    <x v="4"/>
    <x v="0"/>
    <x v="22"/>
    <n v="1"/>
    <n v="10"/>
    <x v="0"/>
  </r>
  <r>
    <s v="TX501682"/>
    <x v="1"/>
    <n v="4"/>
    <n v="124.6"/>
    <n v="498.4"/>
    <x v="62"/>
    <x v="66"/>
    <x v="1"/>
    <x v="0"/>
    <x v="1"/>
    <x v="0"/>
    <x v="22"/>
    <n v="2"/>
    <n v="10"/>
    <x v="1"/>
  </r>
  <r>
    <s v="TX501683"/>
    <x v="1"/>
    <n v="7"/>
    <n v="39.9"/>
    <n v="279.3"/>
    <x v="62"/>
    <x v="63"/>
    <x v="0"/>
    <x v="2"/>
    <x v="1"/>
    <x v="0"/>
    <x v="3"/>
    <n v="1"/>
    <n v="10"/>
    <x v="0"/>
  </r>
  <r>
    <s v="TX501684"/>
    <x v="6"/>
    <n v="1"/>
    <n v="94.6"/>
    <n v="94.6"/>
    <x v="62"/>
    <x v="73"/>
    <x v="1"/>
    <x v="0"/>
    <x v="1"/>
    <x v="0"/>
    <x v="3"/>
    <n v="14"/>
    <n v="10"/>
    <x v="1"/>
  </r>
  <r>
    <s v="TX501685"/>
    <x v="2"/>
    <n v="2"/>
    <n v="149.6"/>
    <n v="299.2"/>
    <x v="62"/>
    <x v="63"/>
    <x v="1"/>
    <x v="0"/>
    <x v="0"/>
    <x v="0"/>
    <x v="3"/>
    <n v="1"/>
    <n v="10"/>
    <x v="1"/>
  </r>
  <r>
    <s v="TX501686"/>
    <x v="8"/>
    <n v="1"/>
    <n v="52.2"/>
    <n v="52.2"/>
    <x v="62"/>
    <x v="63"/>
    <x v="2"/>
    <x v="1"/>
    <x v="0"/>
    <x v="0"/>
    <x v="3"/>
    <n v="1"/>
    <n v="10"/>
    <x v="2"/>
  </r>
  <r>
    <s v="TX501687"/>
    <x v="6"/>
    <n v="2"/>
    <n v="96.5"/>
    <n v="193"/>
    <x v="62"/>
    <x v="63"/>
    <x v="1"/>
    <x v="1"/>
    <x v="1"/>
    <x v="0"/>
    <x v="3"/>
    <n v="1"/>
    <n v="10"/>
    <x v="1"/>
  </r>
  <r>
    <s v="TX501688"/>
    <x v="8"/>
    <n v="2"/>
    <n v="79.8"/>
    <n v="159.6"/>
    <x v="62"/>
    <x v="66"/>
    <x v="1"/>
    <x v="0"/>
    <x v="1"/>
    <x v="0"/>
    <x v="3"/>
    <n v="2"/>
    <n v="10"/>
    <x v="1"/>
  </r>
  <r>
    <s v="TX501689"/>
    <x v="8"/>
    <n v="3"/>
    <n v="35.6"/>
    <n v="106.80000000000001"/>
    <x v="62"/>
    <x v="63"/>
    <x v="1"/>
    <x v="2"/>
    <x v="0"/>
    <x v="0"/>
    <x v="3"/>
    <n v="1"/>
    <n v="10"/>
    <x v="1"/>
  </r>
  <r>
    <s v="TX501690"/>
    <x v="16"/>
    <n v="1"/>
    <n v="50.2"/>
    <n v="50.2"/>
    <x v="62"/>
    <x v="63"/>
    <x v="1"/>
    <x v="1"/>
    <x v="2"/>
    <x v="0"/>
    <x v="3"/>
    <n v="1"/>
    <n v="10"/>
    <x v="1"/>
  </r>
  <r>
    <s v="TX501691"/>
    <x v="1"/>
    <n v="3"/>
    <n v="55.3"/>
    <n v="165.89999999999998"/>
    <x v="62"/>
    <x v="68"/>
    <x v="1"/>
    <x v="0"/>
    <x v="4"/>
    <x v="0"/>
    <x v="40"/>
    <n v="3"/>
    <n v="10"/>
    <x v="1"/>
  </r>
  <r>
    <s v="TX501692"/>
    <x v="6"/>
    <n v="7"/>
    <n v="104.5"/>
    <n v="731.5"/>
    <x v="62"/>
    <x v="70"/>
    <x v="1"/>
    <x v="1"/>
    <x v="0"/>
    <x v="0"/>
    <x v="7"/>
    <n v="4"/>
    <n v="10"/>
    <x v="1"/>
  </r>
  <r>
    <s v="TX501693"/>
    <x v="6"/>
    <n v="4"/>
    <n v="66.5"/>
    <n v="266"/>
    <x v="62"/>
    <x v="66"/>
    <x v="0"/>
    <x v="1"/>
    <x v="0"/>
    <x v="0"/>
    <x v="7"/>
    <n v="2"/>
    <n v="10"/>
    <x v="0"/>
  </r>
  <r>
    <s v="TX501694"/>
    <x v="10"/>
    <n v="8"/>
    <n v="38.299999999999997"/>
    <n v="306.39999999999998"/>
    <x v="62"/>
    <x v="63"/>
    <x v="1"/>
    <x v="0"/>
    <x v="0"/>
    <x v="0"/>
    <x v="7"/>
    <n v="1"/>
    <n v="10"/>
    <x v="1"/>
  </r>
  <r>
    <s v="TX501695"/>
    <x v="6"/>
    <n v="3"/>
    <n v="63.8"/>
    <n v="191.39999999999998"/>
    <x v="62"/>
    <x v="68"/>
    <x v="1"/>
    <x v="1"/>
    <x v="0"/>
    <x v="0"/>
    <x v="8"/>
    <n v="3"/>
    <n v="10"/>
    <x v="1"/>
  </r>
  <r>
    <s v="TX501696"/>
    <x v="15"/>
    <n v="1"/>
    <n v="21.4"/>
    <n v="21.4"/>
    <x v="62"/>
    <x v="61"/>
    <x v="0"/>
    <x v="4"/>
    <x v="0"/>
    <x v="0"/>
    <x v="8"/>
    <n v="0"/>
    <n v="10"/>
    <x v="0"/>
  </r>
  <r>
    <s v="TX501697"/>
    <x v="8"/>
    <n v="4"/>
    <n v="44.1"/>
    <n v="176.4"/>
    <x v="62"/>
    <x v="66"/>
    <x v="1"/>
    <x v="2"/>
    <x v="0"/>
    <x v="0"/>
    <x v="8"/>
    <n v="2"/>
    <n v="10"/>
    <x v="1"/>
  </r>
  <r>
    <s v="TX501698"/>
    <x v="5"/>
    <n v="8"/>
    <n v="57.6"/>
    <n v="460.8"/>
    <x v="62"/>
    <x v="66"/>
    <x v="0"/>
    <x v="1"/>
    <x v="2"/>
    <x v="0"/>
    <x v="8"/>
    <n v="2"/>
    <n v="10"/>
    <x v="0"/>
  </r>
  <r>
    <s v="TX501699"/>
    <x v="9"/>
    <n v="2"/>
    <n v="20.3"/>
    <n v="40.6"/>
    <x v="62"/>
    <x v="65"/>
    <x v="1"/>
    <x v="3"/>
    <x v="0"/>
    <x v="0"/>
    <x v="8"/>
    <n v="6"/>
    <n v="10"/>
    <x v="1"/>
  </r>
  <r>
    <s v="TX501700"/>
    <x v="8"/>
    <n v="1"/>
    <n v="22.9"/>
    <n v="22.9"/>
    <x v="62"/>
    <x v="66"/>
    <x v="1"/>
    <x v="2"/>
    <x v="2"/>
    <x v="0"/>
    <x v="8"/>
    <n v="2"/>
    <n v="10"/>
    <x v="1"/>
  </r>
  <r>
    <s v="TX501701"/>
    <x v="6"/>
    <n v="4"/>
    <n v="105.9"/>
    <n v="423.6"/>
    <x v="62"/>
    <x v="63"/>
    <x v="1"/>
    <x v="1"/>
    <x v="2"/>
    <x v="0"/>
    <x v="17"/>
    <n v="1"/>
    <n v="10"/>
    <x v="1"/>
  </r>
  <r>
    <s v="TX501702"/>
    <x v="1"/>
    <n v="9"/>
    <n v="37.4"/>
    <n v="336.59999999999997"/>
    <x v="62"/>
    <x v="70"/>
    <x v="0"/>
    <x v="1"/>
    <x v="0"/>
    <x v="0"/>
    <x v="11"/>
    <n v="4"/>
    <n v="10"/>
    <x v="0"/>
  </r>
  <r>
    <s v="TX501703"/>
    <x v="18"/>
    <n v="2"/>
    <n v="79"/>
    <n v="158"/>
    <x v="62"/>
    <x v="63"/>
    <x v="0"/>
    <x v="2"/>
    <x v="0"/>
    <x v="0"/>
    <x v="28"/>
    <n v="1"/>
    <n v="10"/>
    <x v="0"/>
  </r>
  <r>
    <s v="TX501704"/>
    <x v="0"/>
    <n v="3"/>
    <n v="19.3"/>
    <n v="57.900000000000006"/>
    <x v="62"/>
    <x v="63"/>
    <x v="1"/>
    <x v="4"/>
    <x v="0"/>
    <x v="0"/>
    <x v="21"/>
    <n v="1"/>
    <n v="10"/>
    <x v="1"/>
  </r>
  <r>
    <s v="TX501705"/>
    <x v="0"/>
    <n v="1"/>
    <n v="24"/>
    <n v="24"/>
    <x v="62"/>
    <x v="63"/>
    <x v="1"/>
    <x v="1"/>
    <x v="0"/>
    <x v="0"/>
    <x v="1"/>
    <n v="1"/>
    <n v="10"/>
    <x v="1"/>
  </r>
  <r>
    <s v="TX501706"/>
    <x v="6"/>
    <n v="5"/>
    <n v="71.3"/>
    <n v="356.5"/>
    <x v="62"/>
    <x v="68"/>
    <x v="1"/>
    <x v="2"/>
    <x v="0"/>
    <x v="0"/>
    <x v="2"/>
    <n v="3"/>
    <n v="10"/>
    <x v="1"/>
  </r>
  <r>
    <s v="TX501707"/>
    <x v="5"/>
    <n v="2"/>
    <n v="166.2"/>
    <n v="332.4"/>
    <x v="62"/>
    <x v="63"/>
    <x v="0"/>
    <x v="0"/>
    <x v="2"/>
    <x v="0"/>
    <x v="50"/>
    <n v="1"/>
    <n v="10"/>
    <x v="0"/>
  </r>
  <r>
    <s v="TX501708"/>
    <x v="6"/>
    <n v="1"/>
    <n v="81"/>
    <n v="81"/>
    <x v="62"/>
    <x v="63"/>
    <x v="1"/>
    <x v="2"/>
    <x v="1"/>
    <x v="0"/>
    <x v="3"/>
    <n v="1"/>
    <n v="10"/>
    <x v="1"/>
  </r>
  <r>
    <s v="TX501709"/>
    <x v="10"/>
    <n v="6"/>
    <n v="38.5"/>
    <n v="231"/>
    <x v="62"/>
    <x v="70"/>
    <x v="1"/>
    <x v="0"/>
    <x v="0"/>
    <x v="0"/>
    <x v="3"/>
    <n v="4"/>
    <n v="10"/>
    <x v="1"/>
  </r>
  <r>
    <s v="TX501710"/>
    <x v="6"/>
    <n v="1"/>
    <n v="86.1"/>
    <n v="86.1"/>
    <x v="62"/>
    <x v="66"/>
    <x v="1"/>
    <x v="3"/>
    <x v="0"/>
    <x v="0"/>
    <x v="3"/>
    <n v="2"/>
    <n v="10"/>
    <x v="1"/>
  </r>
  <r>
    <s v="TX501711"/>
    <x v="2"/>
    <n v="5"/>
    <n v="51"/>
    <n v="255"/>
    <x v="62"/>
    <x v="63"/>
    <x v="0"/>
    <x v="0"/>
    <x v="1"/>
    <x v="0"/>
    <x v="3"/>
    <n v="1"/>
    <n v="10"/>
    <x v="0"/>
  </r>
  <r>
    <s v="TX501712"/>
    <x v="3"/>
    <n v="5"/>
    <n v="115.4"/>
    <n v="577"/>
    <x v="62"/>
    <x v="63"/>
    <x v="0"/>
    <x v="0"/>
    <x v="0"/>
    <x v="0"/>
    <x v="3"/>
    <n v="1"/>
    <n v="10"/>
    <x v="0"/>
  </r>
  <r>
    <s v="TX501713"/>
    <x v="6"/>
    <n v="4"/>
    <n v="176.5"/>
    <n v="706"/>
    <x v="62"/>
    <x v="63"/>
    <x v="1"/>
    <x v="2"/>
    <x v="2"/>
    <x v="0"/>
    <x v="3"/>
    <n v="1"/>
    <n v="10"/>
    <x v="1"/>
  </r>
  <r>
    <s v="TX501714"/>
    <x v="7"/>
    <n v="3"/>
    <n v="48.9"/>
    <n v="146.69999999999999"/>
    <x v="62"/>
    <x v="63"/>
    <x v="0"/>
    <x v="4"/>
    <x v="0"/>
    <x v="0"/>
    <x v="3"/>
    <n v="1"/>
    <n v="10"/>
    <x v="0"/>
  </r>
  <r>
    <s v="TX501715"/>
    <x v="8"/>
    <n v="3"/>
    <n v="18.100000000000001"/>
    <n v="54.300000000000004"/>
    <x v="62"/>
    <x v="71"/>
    <x v="1"/>
    <x v="1"/>
    <x v="2"/>
    <x v="0"/>
    <x v="29"/>
    <n v="7"/>
    <n v="10"/>
    <x v="1"/>
  </r>
  <r>
    <s v="TX501716"/>
    <x v="2"/>
    <n v="2"/>
    <n v="118.5"/>
    <n v="237"/>
    <x v="62"/>
    <x v="68"/>
    <x v="0"/>
    <x v="1"/>
    <x v="2"/>
    <x v="0"/>
    <x v="16"/>
    <n v="3"/>
    <n v="10"/>
    <x v="0"/>
  </r>
  <r>
    <s v="TX501717"/>
    <x v="15"/>
    <n v="7"/>
    <n v="59.1"/>
    <n v="413.7"/>
    <x v="62"/>
    <x v="63"/>
    <x v="1"/>
    <x v="3"/>
    <x v="0"/>
    <x v="0"/>
    <x v="25"/>
    <n v="1"/>
    <n v="10"/>
    <x v="1"/>
  </r>
  <r>
    <s v="TX501718"/>
    <x v="4"/>
    <n v="1"/>
    <n v="21.2"/>
    <n v="21.2"/>
    <x v="62"/>
    <x v="63"/>
    <x v="1"/>
    <x v="0"/>
    <x v="1"/>
    <x v="0"/>
    <x v="6"/>
    <n v="1"/>
    <n v="10"/>
    <x v="1"/>
  </r>
  <r>
    <s v="TX501719"/>
    <x v="6"/>
    <n v="2"/>
    <n v="68.8"/>
    <n v="137.6"/>
    <x v="62"/>
    <x v="60"/>
    <x v="1"/>
    <x v="3"/>
    <x v="2"/>
    <x v="0"/>
    <x v="6"/>
    <n v="5"/>
    <n v="10"/>
    <x v="1"/>
  </r>
  <r>
    <s v="TX501720"/>
    <x v="6"/>
    <n v="2"/>
    <n v="65.400000000000006"/>
    <n v="130.80000000000001"/>
    <x v="62"/>
    <x v="70"/>
    <x v="1"/>
    <x v="0"/>
    <x v="0"/>
    <x v="0"/>
    <x v="6"/>
    <n v="4"/>
    <n v="10"/>
    <x v="1"/>
  </r>
  <r>
    <s v="TX501721"/>
    <x v="12"/>
    <n v="5"/>
    <n v="66.3"/>
    <n v="331.5"/>
    <x v="63"/>
    <x v="70"/>
    <x v="1"/>
    <x v="4"/>
    <x v="0"/>
    <x v="0"/>
    <x v="6"/>
    <n v="3"/>
    <n v="10"/>
    <x v="1"/>
  </r>
  <r>
    <s v="TX501722"/>
    <x v="6"/>
    <n v="3"/>
    <n v="97.5"/>
    <n v="292.5"/>
    <x v="63"/>
    <x v="63"/>
    <x v="0"/>
    <x v="3"/>
    <x v="0"/>
    <x v="0"/>
    <x v="8"/>
    <n v="0"/>
    <n v="10"/>
    <x v="0"/>
  </r>
  <r>
    <s v="TX501723"/>
    <x v="1"/>
    <n v="2"/>
    <n v="44"/>
    <n v="88"/>
    <x v="63"/>
    <x v="70"/>
    <x v="1"/>
    <x v="1"/>
    <x v="2"/>
    <x v="0"/>
    <x v="8"/>
    <n v="3"/>
    <n v="10"/>
    <x v="1"/>
  </r>
  <r>
    <s v="TX501724"/>
    <x v="0"/>
    <n v="1"/>
    <n v="21.9"/>
    <n v="21.9"/>
    <x v="63"/>
    <x v="66"/>
    <x v="0"/>
    <x v="0"/>
    <x v="0"/>
    <x v="0"/>
    <x v="8"/>
    <n v="1"/>
    <n v="10"/>
    <x v="0"/>
  </r>
  <r>
    <s v="TX501725"/>
    <x v="4"/>
    <n v="7"/>
    <n v="21.5"/>
    <n v="150.5"/>
    <x v="63"/>
    <x v="68"/>
    <x v="1"/>
    <x v="1"/>
    <x v="2"/>
    <x v="0"/>
    <x v="9"/>
    <n v="2"/>
    <n v="10"/>
    <x v="1"/>
  </r>
  <r>
    <s v="TX501726"/>
    <x v="12"/>
    <n v="6"/>
    <n v="133"/>
    <n v="798"/>
    <x v="63"/>
    <x v="66"/>
    <x v="3"/>
    <x v="0"/>
    <x v="2"/>
    <x v="0"/>
    <x v="10"/>
    <n v="1"/>
    <n v="10"/>
    <x v="3"/>
  </r>
  <r>
    <s v="TX501727"/>
    <x v="8"/>
    <n v="2"/>
    <n v="47.7"/>
    <n v="95.4"/>
    <x v="63"/>
    <x v="60"/>
    <x v="0"/>
    <x v="0"/>
    <x v="2"/>
    <x v="0"/>
    <x v="10"/>
    <n v="4"/>
    <n v="10"/>
    <x v="0"/>
  </r>
  <r>
    <s v="TX501728"/>
    <x v="16"/>
    <n v="3"/>
    <n v="58.1"/>
    <n v="174.3"/>
    <x v="63"/>
    <x v="66"/>
    <x v="1"/>
    <x v="0"/>
    <x v="0"/>
    <x v="0"/>
    <x v="11"/>
    <n v="1"/>
    <n v="10"/>
    <x v="1"/>
  </r>
  <r>
    <s v="TX501729"/>
    <x v="12"/>
    <n v="4"/>
    <n v="66.599999999999994"/>
    <n v="266.39999999999998"/>
    <x v="63"/>
    <x v="66"/>
    <x v="2"/>
    <x v="0"/>
    <x v="0"/>
    <x v="0"/>
    <x v="11"/>
    <n v="1"/>
    <n v="10"/>
    <x v="2"/>
  </r>
  <r>
    <s v="TX501730"/>
    <x v="9"/>
    <n v="1"/>
    <n v="24.1"/>
    <n v="24.1"/>
    <x v="63"/>
    <x v="70"/>
    <x v="0"/>
    <x v="2"/>
    <x v="1"/>
    <x v="0"/>
    <x v="19"/>
    <n v="3"/>
    <n v="10"/>
    <x v="0"/>
  </r>
  <r>
    <s v="TX501731"/>
    <x v="10"/>
    <n v="5"/>
    <n v="51.5"/>
    <n v="257.5"/>
    <x v="63"/>
    <x v="65"/>
    <x v="1"/>
    <x v="0"/>
    <x v="0"/>
    <x v="0"/>
    <x v="13"/>
    <n v="5"/>
    <n v="10"/>
    <x v="1"/>
  </r>
  <r>
    <s v="TX501732"/>
    <x v="0"/>
    <n v="11"/>
    <n v="25.8"/>
    <n v="283.8"/>
    <x v="63"/>
    <x v="60"/>
    <x v="1"/>
    <x v="3"/>
    <x v="4"/>
    <x v="0"/>
    <x v="21"/>
    <n v="4"/>
    <n v="10"/>
    <x v="1"/>
  </r>
  <r>
    <s v="TX501733"/>
    <x v="9"/>
    <n v="4"/>
    <n v="47.7"/>
    <n v="190.8"/>
    <x v="63"/>
    <x v="63"/>
    <x v="1"/>
    <x v="0"/>
    <x v="1"/>
    <x v="0"/>
    <x v="21"/>
    <n v="0"/>
    <n v="10"/>
    <x v="1"/>
  </r>
  <r>
    <s v="TX501734"/>
    <x v="7"/>
    <n v="5"/>
    <n v="73.599999999999994"/>
    <n v="368"/>
    <x v="63"/>
    <x v="60"/>
    <x v="0"/>
    <x v="1"/>
    <x v="0"/>
    <x v="0"/>
    <x v="21"/>
    <n v="4"/>
    <n v="10"/>
    <x v="0"/>
  </r>
  <r>
    <s v="TX501735"/>
    <x v="5"/>
    <n v="7"/>
    <n v="91.2"/>
    <n v="638.4"/>
    <x v="63"/>
    <x v="66"/>
    <x v="0"/>
    <x v="1"/>
    <x v="2"/>
    <x v="0"/>
    <x v="21"/>
    <n v="1"/>
    <n v="10"/>
    <x v="0"/>
  </r>
  <r>
    <s v="TX501736"/>
    <x v="1"/>
    <n v="8"/>
    <n v="36.200000000000003"/>
    <n v="289.60000000000002"/>
    <x v="63"/>
    <x v="63"/>
    <x v="0"/>
    <x v="2"/>
    <x v="2"/>
    <x v="0"/>
    <x v="1"/>
    <n v="0"/>
    <n v="10"/>
    <x v="0"/>
  </r>
  <r>
    <s v="TX501737"/>
    <x v="9"/>
    <n v="8"/>
    <n v="98"/>
    <n v="784"/>
    <x v="63"/>
    <x v="60"/>
    <x v="1"/>
    <x v="2"/>
    <x v="0"/>
    <x v="0"/>
    <x v="2"/>
    <n v="4"/>
    <n v="10"/>
    <x v="1"/>
  </r>
  <r>
    <s v="TX501738"/>
    <x v="1"/>
    <n v="8"/>
    <n v="43.6"/>
    <n v="348.8"/>
    <x v="63"/>
    <x v="66"/>
    <x v="1"/>
    <x v="2"/>
    <x v="0"/>
    <x v="0"/>
    <x v="22"/>
    <n v="1"/>
    <n v="10"/>
    <x v="1"/>
  </r>
  <r>
    <s v="TX501739"/>
    <x v="8"/>
    <n v="10"/>
    <n v="37.799999999999997"/>
    <n v="378"/>
    <x v="63"/>
    <x v="63"/>
    <x v="3"/>
    <x v="0"/>
    <x v="0"/>
    <x v="0"/>
    <x v="50"/>
    <n v="0"/>
    <n v="10"/>
    <x v="3"/>
  </r>
  <r>
    <s v="TX501740"/>
    <x v="17"/>
    <n v="5"/>
    <n v="63.7"/>
    <n v="318.5"/>
    <x v="63"/>
    <x v="70"/>
    <x v="1"/>
    <x v="2"/>
    <x v="1"/>
    <x v="0"/>
    <x v="3"/>
    <n v="3"/>
    <n v="10"/>
    <x v="1"/>
  </r>
  <r>
    <s v="TX501741"/>
    <x v="5"/>
    <n v="9"/>
    <n v="62.9"/>
    <n v="566.1"/>
    <x v="63"/>
    <x v="65"/>
    <x v="0"/>
    <x v="3"/>
    <x v="2"/>
    <x v="0"/>
    <x v="3"/>
    <n v="5"/>
    <n v="10"/>
    <x v="0"/>
  </r>
  <r>
    <s v="TX501742"/>
    <x v="6"/>
    <n v="7"/>
    <n v="61.7"/>
    <n v="431.90000000000003"/>
    <x v="63"/>
    <x v="70"/>
    <x v="1"/>
    <x v="2"/>
    <x v="2"/>
    <x v="0"/>
    <x v="3"/>
    <n v="3"/>
    <n v="10"/>
    <x v="1"/>
  </r>
  <r>
    <s v="TX501743"/>
    <x v="18"/>
    <n v="14"/>
    <n v="36.5"/>
    <n v="511"/>
    <x v="63"/>
    <x v="66"/>
    <x v="0"/>
    <x v="0"/>
    <x v="2"/>
    <x v="0"/>
    <x v="3"/>
    <n v="1"/>
    <n v="10"/>
    <x v="0"/>
  </r>
  <r>
    <s v="TX501744"/>
    <x v="11"/>
    <n v="3"/>
    <n v="98.6"/>
    <n v="295.79999999999995"/>
    <x v="63"/>
    <x v="70"/>
    <x v="3"/>
    <x v="0"/>
    <x v="4"/>
    <x v="0"/>
    <x v="3"/>
    <n v="3"/>
    <n v="10"/>
    <x v="3"/>
  </r>
  <r>
    <s v="TX501745"/>
    <x v="8"/>
    <n v="2"/>
    <n v="19.2"/>
    <n v="38.4"/>
    <x v="63"/>
    <x v="72"/>
    <x v="0"/>
    <x v="0"/>
    <x v="0"/>
    <x v="0"/>
    <x v="3"/>
    <n v="10"/>
    <n v="10"/>
    <x v="0"/>
  </r>
  <r>
    <s v="TX501746"/>
    <x v="3"/>
    <n v="6"/>
    <n v="55.6"/>
    <n v="333.6"/>
    <x v="63"/>
    <x v="60"/>
    <x v="1"/>
    <x v="0"/>
    <x v="2"/>
    <x v="0"/>
    <x v="3"/>
    <n v="4"/>
    <n v="10"/>
    <x v="1"/>
  </r>
  <r>
    <s v="TX501747"/>
    <x v="5"/>
    <n v="6"/>
    <n v="56.4"/>
    <n v="338.4"/>
    <x v="63"/>
    <x v="66"/>
    <x v="1"/>
    <x v="1"/>
    <x v="0"/>
    <x v="0"/>
    <x v="3"/>
    <n v="1"/>
    <n v="10"/>
    <x v="1"/>
  </r>
  <r>
    <s v="TX501748"/>
    <x v="4"/>
    <n v="8"/>
    <n v="43.1"/>
    <n v="344.8"/>
    <x v="63"/>
    <x v="60"/>
    <x v="1"/>
    <x v="4"/>
    <x v="0"/>
    <x v="0"/>
    <x v="3"/>
    <n v="4"/>
    <n v="10"/>
    <x v="1"/>
  </r>
  <r>
    <s v="TX501749"/>
    <x v="1"/>
    <n v="2"/>
    <n v="77.3"/>
    <n v="154.6"/>
    <x v="63"/>
    <x v="68"/>
    <x v="0"/>
    <x v="0"/>
    <x v="0"/>
    <x v="0"/>
    <x v="6"/>
    <n v="2"/>
    <n v="10"/>
    <x v="0"/>
  </r>
  <r>
    <s v="TX501750"/>
    <x v="9"/>
    <n v="8"/>
    <n v="38.299999999999997"/>
    <n v="306.39999999999998"/>
    <x v="63"/>
    <x v="66"/>
    <x v="0"/>
    <x v="0"/>
    <x v="0"/>
    <x v="0"/>
    <x v="7"/>
    <n v="1"/>
    <n v="10"/>
    <x v="0"/>
  </r>
  <r>
    <s v="TX501751"/>
    <x v="0"/>
    <n v="7"/>
    <n v="16.8"/>
    <n v="117.60000000000001"/>
    <x v="63"/>
    <x v="70"/>
    <x v="0"/>
    <x v="2"/>
    <x v="1"/>
    <x v="0"/>
    <x v="8"/>
    <n v="3"/>
    <n v="10"/>
    <x v="0"/>
  </r>
  <r>
    <s v="TX501752"/>
    <x v="2"/>
    <n v="3"/>
    <n v="63.2"/>
    <n v="189.60000000000002"/>
    <x v="63"/>
    <x v="66"/>
    <x v="1"/>
    <x v="0"/>
    <x v="2"/>
    <x v="0"/>
    <x v="8"/>
    <n v="1"/>
    <n v="10"/>
    <x v="1"/>
  </r>
  <r>
    <s v="TX501753"/>
    <x v="14"/>
    <n v="23"/>
    <n v="39.700000000000003"/>
    <n v="913.1"/>
    <x v="63"/>
    <x v="66"/>
    <x v="0"/>
    <x v="0"/>
    <x v="0"/>
    <x v="0"/>
    <x v="8"/>
    <n v="1"/>
    <n v="10"/>
    <x v="0"/>
  </r>
  <r>
    <s v="TX501754"/>
    <x v="10"/>
    <n v="3"/>
    <n v="45.8"/>
    <n v="137.39999999999998"/>
    <x v="63"/>
    <x v="66"/>
    <x v="1"/>
    <x v="1"/>
    <x v="2"/>
    <x v="0"/>
    <x v="8"/>
    <n v="1"/>
    <n v="10"/>
    <x v="1"/>
  </r>
  <r>
    <s v="TX501755"/>
    <x v="0"/>
    <n v="6"/>
    <n v="12.4"/>
    <n v="74.400000000000006"/>
    <x v="63"/>
    <x v="70"/>
    <x v="0"/>
    <x v="0"/>
    <x v="0"/>
    <x v="0"/>
    <x v="8"/>
    <n v="3"/>
    <n v="10"/>
    <x v="0"/>
  </r>
  <r>
    <s v="TX501756"/>
    <x v="14"/>
    <n v="3"/>
    <n v="50.8"/>
    <n v="152.39999999999998"/>
    <x v="64"/>
    <x v="66"/>
    <x v="1"/>
    <x v="4"/>
    <x v="0"/>
    <x v="0"/>
    <x v="17"/>
    <n v="0"/>
    <n v="10"/>
    <x v="1"/>
  </r>
  <r>
    <s v="TX501757"/>
    <x v="9"/>
    <n v="1"/>
    <n v="76"/>
    <n v="76"/>
    <x v="64"/>
    <x v="65"/>
    <x v="3"/>
    <x v="2"/>
    <x v="2"/>
    <x v="0"/>
    <x v="17"/>
    <n v="4"/>
    <n v="10"/>
    <x v="3"/>
  </r>
  <r>
    <s v="TX501758"/>
    <x v="1"/>
    <n v="2"/>
    <n v="51.9"/>
    <n v="103.8"/>
    <x v="64"/>
    <x v="68"/>
    <x v="0"/>
    <x v="1"/>
    <x v="2"/>
    <x v="0"/>
    <x v="26"/>
    <n v="1"/>
    <n v="10"/>
    <x v="0"/>
  </r>
  <r>
    <s v="TX501759"/>
    <x v="2"/>
    <n v="2"/>
    <n v="93.4"/>
    <n v="186.8"/>
    <x v="64"/>
    <x v="64"/>
    <x v="0"/>
    <x v="0"/>
    <x v="3"/>
    <x v="0"/>
    <x v="11"/>
    <n v="7"/>
    <n v="10"/>
    <x v="0"/>
  </r>
  <r>
    <s v="TX501760"/>
    <x v="7"/>
    <n v="6"/>
    <n v="30.8"/>
    <n v="184.8"/>
    <x v="64"/>
    <x v="60"/>
    <x v="1"/>
    <x v="1"/>
    <x v="0"/>
    <x v="0"/>
    <x v="11"/>
    <n v="3"/>
    <n v="10"/>
    <x v="1"/>
  </r>
  <r>
    <s v="TX501761"/>
    <x v="2"/>
    <n v="1"/>
    <n v="143.19999999999999"/>
    <n v="143.19999999999999"/>
    <x v="64"/>
    <x v="60"/>
    <x v="0"/>
    <x v="2"/>
    <x v="0"/>
    <x v="0"/>
    <x v="11"/>
    <n v="3"/>
    <n v="10"/>
    <x v="0"/>
  </r>
  <r>
    <s v="TX501762"/>
    <x v="6"/>
    <n v="11"/>
    <n v="40.4"/>
    <n v="444.4"/>
    <x v="64"/>
    <x v="70"/>
    <x v="0"/>
    <x v="2"/>
    <x v="2"/>
    <x v="0"/>
    <x v="18"/>
    <n v="2"/>
    <n v="10"/>
    <x v="0"/>
  </r>
  <r>
    <s v="TX501763"/>
    <x v="2"/>
    <n v="19"/>
    <n v="131.5"/>
    <n v="2498.5"/>
    <x v="64"/>
    <x v="70"/>
    <x v="0"/>
    <x v="1"/>
    <x v="1"/>
    <x v="0"/>
    <x v="18"/>
    <n v="2"/>
    <n v="10"/>
    <x v="0"/>
  </r>
  <r>
    <s v="TX501764"/>
    <x v="18"/>
    <n v="7"/>
    <n v="61.6"/>
    <n v="431.2"/>
    <x v="64"/>
    <x v="68"/>
    <x v="0"/>
    <x v="2"/>
    <x v="0"/>
    <x v="0"/>
    <x v="21"/>
    <n v="1"/>
    <n v="10"/>
    <x v="0"/>
  </r>
  <r>
    <s v="TX501765"/>
    <x v="9"/>
    <n v="5"/>
    <n v="32.700000000000003"/>
    <n v="163.5"/>
    <x v="64"/>
    <x v="70"/>
    <x v="0"/>
    <x v="2"/>
    <x v="0"/>
    <x v="0"/>
    <x v="1"/>
    <n v="2"/>
    <n v="10"/>
    <x v="0"/>
  </r>
  <r>
    <s v="TX501766"/>
    <x v="0"/>
    <n v="10"/>
    <n v="13.7"/>
    <n v="137"/>
    <x v="64"/>
    <x v="68"/>
    <x v="0"/>
    <x v="0"/>
    <x v="2"/>
    <x v="0"/>
    <x v="3"/>
    <n v="1"/>
    <n v="10"/>
    <x v="0"/>
  </r>
  <r>
    <s v="TX501767"/>
    <x v="0"/>
    <n v="4"/>
    <n v="32.1"/>
    <n v="128.4"/>
    <x v="64"/>
    <x v="68"/>
    <x v="0"/>
    <x v="4"/>
    <x v="1"/>
    <x v="0"/>
    <x v="3"/>
    <n v="1"/>
    <n v="10"/>
    <x v="0"/>
  </r>
  <r>
    <s v="TX501768"/>
    <x v="14"/>
    <n v="8"/>
    <n v="12"/>
    <n v="96"/>
    <x v="64"/>
    <x v="68"/>
    <x v="0"/>
    <x v="1"/>
    <x v="0"/>
    <x v="0"/>
    <x v="24"/>
    <n v="1"/>
    <n v="10"/>
    <x v="0"/>
  </r>
  <r>
    <s v="TX501769"/>
    <x v="12"/>
    <n v="1"/>
    <n v="64.3"/>
    <n v="64.3"/>
    <x v="64"/>
    <x v="70"/>
    <x v="1"/>
    <x v="2"/>
    <x v="2"/>
    <x v="0"/>
    <x v="6"/>
    <n v="2"/>
    <n v="10"/>
    <x v="1"/>
  </r>
  <r>
    <s v="TX501770"/>
    <x v="1"/>
    <n v="3"/>
    <n v="58.2"/>
    <n v="174.60000000000002"/>
    <x v="64"/>
    <x v="70"/>
    <x v="1"/>
    <x v="1"/>
    <x v="2"/>
    <x v="0"/>
    <x v="6"/>
    <n v="2"/>
    <n v="10"/>
    <x v="1"/>
  </r>
  <r>
    <s v="TX501771"/>
    <x v="6"/>
    <n v="4"/>
    <n v="59.2"/>
    <n v="236.8"/>
    <x v="64"/>
    <x v="66"/>
    <x v="0"/>
    <x v="1"/>
    <x v="2"/>
    <x v="0"/>
    <x v="6"/>
    <n v="0"/>
    <n v="10"/>
    <x v="0"/>
  </r>
  <r>
    <s v="TX501772"/>
    <x v="10"/>
    <n v="11"/>
    <n v="35.6"/>
    <n v="391.6"/>
    <x v="64"/>
    <x v="64"/>
    <x v="0"/>
    <x v="0"/>
    <x v="2"/>
    <x v="0"/>
    <x v="8"/>
    <n v="7"/>
    <n v="10"/>
    <x v="0"/>
  </r>
  <r>
    <s v="TX501773"/>
    <x v="16"/>
    <n v="8"/>
    <n v="37"/>
    <n v="296"/>
    <x v="64"/>
    <x v="65"/>
    <x v="1"/>
    <x v="2"/>
    <x v="1"/>
    <x v="0"/>
    <x v="8"/>
    <n v="4"/>
    <n v="10"/>
    <x v="1"/>
  </r>
  <r>
    <s v="TX501774"/>
    <x v="1"/>
    <n v="13"/>
    <n v="80.8"/>
    <n v="1050.3999999999999"/>
    <x v="64"/>
    <x v="70"/>
    <x v="1"/>
    <x v="0"/>
    <x v="0"/>
    <x v="0"/>
    <x v="8"/>
    <n v="2"/>
    <n v="10"/>
    <x v="1"/>
  </r>
  <r>
    <s v="TX501775"/>
    <x v="8"/>
    <n v="2"/>
    <n v="63.2"/>
    <n v="126.4"/>
    <x v="64"/>
    <x v="68"/>
    <x v="0"/>
    <x v="0"/>
    <x v="1"/>
    <x v="0"/>
    <x v="8"/>
    <n v="1"/>
    <n v="10"/>
    <x v="0"/>
  </r>
  <r>
    <s v="TX501776"/>
    <x v="3"/>
    <n v="2"/>
    <n v="40.799999999999997"/>
    <n v="81.599999999999994"/>
    <x v="64"/>
    <x v="70"/>
    <x v="0"/>
    <x v="0"/>
    <x v="1"/>
    <x v="0"/>
    <x v="17"/>
    <n v="2"/>
    <n v="10"/>
    <x v="0"/>
  </r>
  <r>
    <s v="TX501777"/>
    <x v="13"/>
    <n v="6"/>
    <n v="25.7"/>
    <n v="154.19999999999999"/>
    <x v="64"/>
    <x v="70"/>
    <x v="0"/>
    <x v="4"/>
    <x v="0"/>
    <x v="0"/>
    <x v="18"/>
    <n v="2"/>
    <n v="10"/>
    <x v="0"/>
  </r>
  <r>
    <s v="TX501778"/>
    <x v="16"/>
    <n v="2"/>
    <n v="49.9"/>
    <n v="99.8"/>
    <x v="64"/>
    <x v="60"/>
    <x v="0"/>
    <x v="0"/>
    <x v="0"/>
    <x v="0"/>
    <x v="20"/>
    <n v="3"/>
    <n v="10"/>
    <x v="0"/>
  </r>
  <r>
    <s v="TX501779"/>
    <x v="8"/>
    <n v="2"/>
    <n v="20.2"/>
    <n v="40.4"/>
    <x v="64"/>
    <x v="70"/>
    <x v="1"/>
    <x v="3"/>
    <x v="0"/>
    <x v="0"/>
    <x v="21"/>
    <n v="2"/>
    <n v="10"/>
    <x v="1"/>
  </r>
  <r>
    <s v="TX501780"/>
    <x v="6"/>
    <n v="3"/>
    <n v="48.4"/>
    <n v="145.19999999999999"/>
    <x v="64"/>
    <x v="71"/>
    <x v="1"/>
    <x v="0"/>
    <x v="2"/>
    <x v="0"/>
    <x v="21"/>
    <n v="5"/>
    <n v="10"/>
    <x v="1"/>
  </r>
  <r>
    <s v="TX501781"/>
    <x v="6"/>
    <n v="2"/>
    <n v="81"/>
    <n v="162"/>
    <x v="64"/>
    <x v="68"/>
    <x v="1"/>
    <x v="1"/>
    <x v="2"/>
    <x v="0"/>
    <x v="21"/>
    <n v="1"/>
    <n v="10"/>
    <x v="1"/>
  </r>
  <r>
    <s v="TX501782"/>
    <x v="8"/>
    <n v="6"/>
    <n v="19.899999999999999"/>
    <n v="119.39999999999999"/>
    <x v="64"/>
    <x v="60"/>
    <x v="1"/>
    <x v="0"/>
    <x v="1"/>
    <x v="0"/>
    <x v="22"/>
    <n v="3"/>
    <n v="10"/>
    <x v="1"/>
  </r>
  <r>
    <s v="TX501783"/>
    <x v="4"/>
    <n v="4"/>
    <n v="32.200000000000003"/>
    <n v="128.80000000000001"/>
    <x v="64"/>
    <x v="69"/>
    <x v="0"/>
    <x v="0"/>
    <x v="0"/>
    <x v="0"/>
    <x v="22"/>
    <n v="10"/>
    <n v="10"/>
    <x v="0"/>
  </r>
  <r>
    <s v="TX501784"/>
    <x v="5"/>
    <n v="3"/>
    <n v="76.8"/>
    <n v="230.39999999999998"/>
    <x v="64"/>
    <x v="68"/>
    <x v="1"/>
    <x v="0"/>
    <x v="1"/>
    <x v="0"/>
    <x v="3"/>
    <n v="1"/>
    <n v="10"/>
    <x v="1"/>
  </r>
  <r>
    <s v="TX501785"/>
    <x v="6"/>
    <n v="2"/>
    <n v="41.9"/>
    <n v="83.8"/>
    <x v="64"/>
    <x v="70"/>
    <x v="1"/>
    <x v="0"/>
    <x v="0"/>
    <x v="0"/>
    <x v="3"/>
    <n v="2"/>
    <n v="10"/>
    <x v="1"/>
  </r>
  <r>
    <s v="TX501786"/>
    <x v="0"/>
    <n v="7"/>
    <n v="34"/>
    <n v="238"/>
    <x v="64"/>
    <x v="70"/>
    <x v="1"/>
    <x v="1"/>
    <x v="2"/>
    <x v="0"/>
    <x v="3"/>
    <n v="2"/>
    <n v="10"/>
    <x v="1"/>
  </r>
  <r>
    <s v="TX501787"/>
    <x v="7"/>
    <n v="7"/>
    <n v="61.3"/>
    <n v="429.09999999999997"/>
    <x v="64"/>
    <x v="66"/>
    <x v="1"/>
    <x v="4"/>
    <x v="2"/>
    <x v="0"/>
    <x v="3"/>
    <n v="0"/>
    <n v="10"/>
    <x v="1"/>
  </r>
  <r>
    <s v="TX501788"/>
    <x v="9"/>
    <n v="1"/>
    <n v="54.7"/>
    <n v="54.7"/>
    <x v="65"/>
    <x v="70"/>
    <x v="0"/>
    <x v="0"/>
    <x v="1"/>
    <x v="0"/>
    <x v="3"/>
    <n v="1"/>
    <n v="10"/>
    <x v="0"/>
  </r>
  <r>
    <s v="TX501789"/>
    <x v="6"/>
    <n v="10"/>
    <n v="84.7"/>
    <n v="847"/>
    <x v="65"/>
    <x v="71"/>
    <x v="1"/>
    <x v="0"/>
    <x v="0"/>
    <x v="0"/>
    <x v="3"/>
    <n v="4"/>
    <n v="10"/>
    <x v="1"/>
  </r>
  <r>
    <s v="TX501790"/>
    <x v="1"/>
    <n v="3"/>
    <n v="93.4"/>
    <n v="280.20000000000005"/>
    <x v="65"/>
    <x v="71"/>
    <x v="1"/>
    <x v="3"/>
    <x v="0"/>
    <x v="0"/>
    <x v="3"/>
    <n v="4"/>
    <n v="10"/>
    <x v="1"/>
  </r>
  <r>
    <s v="TX501791"/>
    <x v="8"/>
    <n v="5"/>
    <n v="27"/>
    <n v="135"/>
    <x v="65"/>
    <x v="65"/>
    <x v="0"/>
    <x v="0"/>
    <x v="1"/>
    <x v="0"/>
    <x v="3"/>
    <n v="3"/>
    <n v="10"/>
    <x v="0"/>
  </r>
  <r>
    <s v="TX501792"/>
    <x v="0"/>
    <n v="4"/>
    <n v="10.9"/>
    <n v="43.6"/>
    <x v="65"/>
    <x v="70"/>
    <x v="0"/>
    <x v="2"/>
    <x v="0"/>
    <x v="0"/>
    <x v="3"/>
    <n v="1"/>
    <n v="10"/>
    <x v="0"/>
  </r>
  <r>
    <s v="TX501793"/>
    <x v="16"/>
    <n v="3"/>
    <n v="48"/>
    <n v="144"/>
    <x v="65"/>
    <x v="74"/>
    <x v="1"/>
    <x v="4"/>
    <x v="0"/>
    <x v="0"/>
    <x v="3"/>
    <n v="5"/>
    <n v="10"/>
    <x v="1"/>
  </r>
  <r>
    <s v="TX501794"/>
    <x v="5"/>
    <n v="2"/>
    <n v="67.900000000000006"/>
    <n v="135.80000000000001"/>
    <x v="65"/>
    <x v="70"/>
    <x v="0"/>
    <x v="0"/>
    <x v="2"/>
    <x v="0"/>
    <x v="23"/>
    <n v="1"/>
    <n v="10"/>
    <x v="0"/>
  </r>
  <r>
    <s v="TX501795"/>
    <x v="4"/>
    <n v="3"/>
    <n v="36"/>
    <n v="108"/>
    <x v="65"/>
    <x v="70"/>
    <x v="0"/>
    <x v="1"/>
    <x v="0"/>
    <x v="0"/>
    <x v="6"/>
    <n v="1"/>
    <n v="10"/>
    <x v="0"/>
  </r>
  <r>
    <s v="TX501796"/>
    <x v="2"/>
    <n v="1"/>
    <n v="128.80000000000001"/>
    <n v="128.80000000000001"/>
    <x v="65"/>
    <x v="70"/>
    <x v="0"/>
    <x v="4"/>
    <x v="2"/>
    <x v="0"/>
    <x v="6"/>
    <n v="1"/>
    <n v="10"/>
    <x v="0"/>
  </r>
  <r>
    <s v="TX501797"/>
    <x v="18"/>
    <n v="7"/>
    <n v="33.299999999999997"/>
    <n v="233.09999999999997"/>
    <x v="65"/>
    <x v="70"/>
    <x v="1"/>
    <x v="3"/>
    <x v="0"/>
    <x v="0"/>
    <x v="8"/>
    <n v="1"/>
    <n v="10"/>
    <x v="1"/>
  </r>
  <r>
    <s v="TX501798"/>
    <x v="10"/>
    <n v="3"/>
    <n v="37.799999999999997"/>
    <n v="113.39999999999999"/>
    <x v="65"/>
    <x v="60"/>
    <x v="0"/>
    <x v="1"/>
    <x v="2"/>
    <x v="0"/>
    <x v="8"/>
    <n v="2"/>
    <n v="10"/>
    <x v="0"/>
  </r>
  <r>
    <s v="TX501799"/>
    <x v="5"/>
    <n v="3"/>
    <n v="26"/>
    <n v="78"/>
    <x v="65"/>
    <x v="74"/>
    <x v="1"/>
    <x v="0"/>
    <x v="0"/>
    <x v="0"/>
    <x v="8"/>
    <n v="5"/>
    <n v="10"/>
    <x v="1"/>
  </r>
  <r>
    <s v="TX501800"/>
    <x v="8"/>
    <n v="19"/>
    <n v="28.3"/>
    <n v="537.70000000000005"/>
    <x v="65"/>
    <x v="70"/>
    <x v="1"/>
    <x v="3"/>
    <x v="4"/>
    <x v="0"/>
    <x v="8"/>
    <n v="1"/>
    <n v="10"/>
    <x v="1"/>
  </r>
  <r>
    <s v="TX501801"/>
    <x v="8"/>
    <n v="4"/>
    <n v="31.3"/>
    <n v="125.2"/>
    <x v="65"/>
    <x v="68"/>
    <x v="1"/>
    <x v="0"/>
    <x v="0"/>
    <x v="0"/>
    <x v="8"/>
    <n v="0"/>
    <n v="10"/>
    <x v="1"/>
  </r>
  <r>
    <s v="TX501802"/>
    <x v="7"/>
    <n v="3"/>
    <n v="69.5"/>
    <n v="208.5"/>
    <x v="65"/>
    <x v="70"/>
    <x v="1"/>
    <x v="3"/>
    <x v="2"/>
    <x v="0"/>
    <x v="8"/>
    <n v="1"/>
    <n v="10"/>
    <x v="1"/>
  </r>
  <r>
    <s v="TX501803"/>
    <x v="0"/>
    <n v="2"/>
    <n v="16.7"/>
    <n v="33.4"/>
    <x v="65"/>
    <x v="70"/>
    <x v="1"/>
    <x v="3"/>
    <x v="1"/>
    <x v="0"/>
    <x v="8"/>
    <n v="1"/>
    <n v="10"/>
    <x v="1"/>
  </r>
  <r>
    <s v="TX501804"/>
    <x v="9"/>
    <n v="2"/>
    <n v="62.6"/>
    <n v="125.2"/>
    <x v="65"/>
    <x v="70"/>
    <x v="0"/>
    <x v="2"/>
    <x v="2"/>
    <x v="0"/>
    <x v="9"/>
    <n v="1"/>
    <n v="10"/>
    <x v="0"/>
  </r>
  <r>
    <s v="TX501805"/>
    <x v="7"/>
    <n v="1"/>
    <n v="81.2"/>
    <n v="81.2"/>
    <x v="65"/>
    <x v="64"/>
    <x v="0"/>
    <x v="4"/>
    <x v="4"/>
    <x v="0"/>
    <x v="9"/>
    <n v="6"/>
    <n v="10"/>
    <x v="0"/>
  </r>
  <r>
    <s v="TX501806"/>
    <x v="0"/>
    <n v="10"/>
    <n v="12.7"/>
    <n v="127"/>
    <x v="65"/>
    <x v="70"/>
    <x v="1"/>
    <x v="0"/>
    <x v="2"/>
    <x v="0"/>
    <x v="9"/>
    <n v="1"/>
    <n v="10"/>
    <x v="1"/>
  </r>
  <r>
    <s v="TX501807"/>
    <x v="7"/>
    <n v="4"/>
    <n v="77.7"/>
    <n v="310.8"/>
    <x v="66"/>
    <x v="74"/>
    <x v="0"/>
    <x v="1"/>
    <x v="0"/>
    <x v="0"/>
    <x v="11"/>
    <n v="4"/>
    <n v="10"/>
    <x v="0"/>
  </r>
  <r>
    <s v="TX501808"/>
    <x v="5"/>
    <n v="2"/>
    <n v="37.299999999999997"/>
    <n v="74.599999999999994"/>
    <x v="66"/>
    <x v="60"/>
    <x v="1"/>
    <x v="0"/>
    <x v="2"/>
    <x v="0"/>
    <x v="18"/>
    <n v="1"/>
    <n v="10"/>
    <x v="1"/>
  </r>
  <r>
    <s v="TX501809"/>
    <x v="10"/>
    <n v="4"/>
    <n v="35.6"/>
    <n v="142.4"/>
    <x v="66"/>
    <x v="65"/>
    <x v="1"/>
    <x v="1"/>
    <x v="1"/>
    <x v="0"/>
    <x v="19"/>
    <n v="2"/>
    <n v="10"/>
    <x v="1"/>
  </r>
  <r>
    <s v="TX501810"/>
    <x v="2"/>
    <n v="3"/>
    <n v="95"/>
    <n v="285"/>
    <x v="66"/>
    <x v="74"/>
    <x v="1"/>
    <x v="2"/>
    <x v="2"/>
    <x v="0"/>
    <x v="56"/>
    <n v="4"/>
    <n v="10"/>
    <x v="1"/>
  </r>
  <r>
    <s v="TX501811"/>
    <x v="2"/>
    <n v="4"/>
    <n v="172.1"/>
    <n v="688.4"/>
    <x v="66"/>
    <x v="74"/>
    <x v="3"/>
    <x v="2"/>
    <x v="2"/>
    <x v="0"/>
    <x v="21"/>
    <n v="4"/>
    <n v="10"/>
    <x v="3"/>
  </r>
  <r>
    <s v="TX501812"/>
    <x v="2"/>
    <n v="2"/>
    <n v="233"/>
    <n v="466"/>
    <x v="66"/>
    <x v="71"/>
    <x v="1"/>
    <x v="1"/>
    <x v="0"/>
    <x v="0"/>
    <x v="21"/>
    <n v="3"/>
    <n v="10"/>
    <x v="1"/>
  </r>
  <r>
    <s v="TX501813"/>
    <x v="0"/>
    <n v="1"/>
    <n v="43.5"/>
    <n v="43.5"/>
    <x v="66"/>
    <x v="60"/>
    <x v="1"/>
    <x v="2"/>
    <x v="2"/>
    <x v="0"/>
    <x v="21"/>
    <n v="1"/>
    <n v="10"/>
    <x v="1"/>
  </r>
  <r>
    <s v="TX501814"/>
    <x v="9"/>
    <n v="2"/>
    <n v="47.8"/>
    <n v="95.6"/>
    <x v="66"/>
    <x v="71"/>
    <x v="0"/>
    <x v="4"/>
    <x v="2"/>
    <x v="0"/>
    <x v="1"/>
    <n v="3"/>
    <n v="10"/>
    <x v="0"/>
  </r>
  <r>
    <s v="TX501815"/>
    <x v="12"/>
    <n v="2"/>
    <n v="65.8"/>
    <n v="131.6"/>
    <x v="66"/>
    <x v="65"/>
    <x v="1"/>
    <x v="0"/>
    <x v="3"/>
    <x v="0"/>
    <x v="33"/>
    <n v="2"/>
    <n v="10"/>
    <x v="1"/>
  </r>
  <r>
    <s v="TX501816"/>
    <x v="15"/>
    <n v="11"/>
    <n v="38.700000000000003"/>
    <n v="425.70000000000005"/>
    <x v="66"/>
    <x v="70"/>
    <x v="0"/>
    <x v="0"/>
    <x v="0"/>
    <x v="0"/>
    <x v="22"/>
    <n v="0"/>
    <n v="10"/>
    <x v="0"/>
  </r>
  <r>
    <s v="TX501817"/>
    <x v="3"/>
    <n v="4"/>
    <n v="55.7"/>
    <n v="222.8"/>
    <x v="66"/>
    <x v="65"/>
    <x v="3"/>
    <x v="0"/>
    <x v="1"/>
    <x v="0"/>
    <x v="22"/>
    <n v="2"/>
    <n v="10"/>
    <x v="3"/>
  </r>
  <r>
    <s v="TX501818"/>
    <x v="7"/>
    <n v="2"/>
    <n v="102.4"/>
    <n v="204.8"/>
    <x v="66"/>
    <x v="70"/>
    <x v="1"/>
    <x v="1"/>
    <x v="0"/>
    <x v="0"/>
    <x v="3"/>
    <n v="0"/>
    <n v="10"/>
    <x v="1"/>
  </r>
  <r>
    <s v="TX501819"/>
    <x v="1"/>
    <n v="1"/>
    <n v="92"/>
    <n v="92"/>
    <x v="66"/>
    <x v="74"/>
    <x v="2"/>
    <x v="2"/>
    <x v="0"/>
    <x v="0"/>
    <x v="3"/>
    <n v="4"/>
    <n v="10"/>
    <x v="2"/>
  </r>
  <r>
    <s v="TX501820"/>
    <x v="6"/>
    <n v="4"/>
    <n v="75.900000000000006"/>
    <n v="303.60000000000002"/>
    <x v="66"/>
    <x v="65"/>
    <x v="1"/>
    <x v="1"/>
    <x v="0"/>
    <x v="0"/>
    <x v="3"/>
    <n v="2"/>
    <n v="10"/>
    <x v="1"/>
  </r>
  <r>
    <s v="TX501821"/>
    <x v="1"/>
    <n v="4"/>
    <n v="36.200000000000003"/>
    <n v="144.80000000000001"/>
    <x v="66"/>
    <x v="60"/>
    <x v="1"/>
    <x v="1"/>
    <x v="0"/>
    <x v="0"/>
    <x v="3"/>
    <n v="1"/>
    <n v="10"/>
    <x v="1"/>
  </r>
  <r>
    <s v="TX501822"/>
    <x v="6"/>
    <n v="87"/>
    <n v="83.5"/>
    <n v="7264.5"/>
    <x v="66"/>
    <x v="65"/>
    <x v="2"/>
    <x v="3"/>
    <x v="0"/>
    <x v="0"/>
    <x v="3"/>
    <n v="2"/>
    <n v="10"/>
    <x v="2"/>
  </r>
  <r>
    <s v="TX501823"/>
    <x v="19"/>
    <n v="12"/>
    <n v="52.4"/>
    <n v="628.79999999999995"/>
    <x v="66"/>
    <x v="70"/>
    <x v="0"/>
    <x v="2"/>
    <x v="0"/>
    <x v="0"/>
    <x v="3"/>
    <n v="0"/>
    <n v="10"/>
    <x v="0"/>
  </r>
  <r>
    <s v="TX501824"/>
    <x v="12"/>
    <n v="3"/>
    <n v="69.5"/>
    <n v="208.5"/>
    <x v="66"/>
    <x v="60"/>
    <x v="3"/>
    <x v="4"/>
    <x v="0"/>
    <x v="0"/>
    <x v="3"/>
    <n v="1"/>
    <n v="10"/>
    <x v="3"/>
  </r>
  <r>
    <s v="TX501825"/>
    <x v="0"/>
    <n v="1"/>
    <n v="15.5"/>
    <n v="15.5"/>
    <x v="66"/>
    <x v="65"/>
    <x v="0"/>
    <x v="0"/>
    <x v="0"/>
    <x v="0"/>
    <x v="3"/>
    <n v="2"/>
    <n v="10"/>
    <x v="0"/>
  </r>
  <r>
    <s v="TX501826"/>
    <x v="4"/>
    <n v="4"/>
    <n v="35.200000000000003"/>
    <n v="140.80000000000001"/>
    <x v="66"/>
    <x v="60"/>
    <x v="1"/>
    <x v="2"/>
    <x v="2"/>
    <x v="0"/>
    <x v="3"/>
    <n v="1"/>
    <n v="10"/>
    <x v="1"/>
  </r>
  <r>
    <s v="TX501827"/>
    <x v="8"/>
    <n v="6"/>
    <n v="34.6"/>
    <n v="207.60000000000002"/>
    <x v="66"/>
    <x v="60"/>
    <x v="2"/>
    <x v="0"/>
    <x v="1"/>
    <x v="0"/>
    <x v="3"/>
    <n v="1"/>
    <n v="10"/>
    <x v="2"/>
  </r>
  <r>
    <s v="TX501828"/>
    <x v="4"/>
    <n v="1"/>
    <n v="21.3"/>
    <n v="21.3"/>
    <x v="67"/>
    <x v="65"/>
    <x v="0"/>
    <x v="2"/>
    <x v="1"/>
    <x v="0"/>
    <x v="3"/>
    <n v="1"/>
    <n v="11"/>
    <x v="0"/>
  </r>
  <r>
    <s v="TX501829"/>
    <x v="6"/>
    <n v="2"/>
    <n v="136.5"/>
    <n v="273"/>
    <x v="67"/>
    <x v="72"/>
    <x v="1"/>
    <x v="0"/>
    <x v="0"/>
    <x v="0"/>
    <x v="37"/>
    <n v="6"/>
    <n v="11"/>
    <x v="1"/>
  </r>
  <r>
    <s v="TX501830"/>
    <x v="9"/>
    <n v="7"/>
    <n v="30.7"/>
    <n v="214.9"/>
    <x v="67"/>
    <x v="65"/>
    <x v="0"/>
    <x v="2"/>
    <x v="2"/>
    <x v="0"/>
    <x v="25"/>
    <n v="1"/>
    <n v="11"/>
    <x v="0"/>
  </r>
  <r>
    <s v="TX501831"/>
    <x v="1"/>
    <n v="2"/>
    <n v="61.6"/>
    <n v="123.2"/>
    <x v="67"/>
    <x v="65"/>
    <x v="1"/>
    <x v="2"/>
    <x v="2"/>
    <x v="0"/>
    <x v="23"/>
    <n v="1"/>
    <n v="11"/>
    <x v="1"/>
  </r>
  <r>
    <s v="TX501832"/>
    <x v="6"/>
    <n v="4"/>
    <n v="54.3"/>
    <n v="217.2"/>
    <x v="67"/>
    <x v="71"/>
    <x v="2"/>
    <x v="4"/>
    <x v="0"/>
    <x v="0"/>
    <x v="7"/>
    <n v="2"/>
    <n v="11"/>
    <x v="2"/>
  </r>
  <r>
    <s v="TX501833"/>
    <x v="1"/>
    <n v="2"/>
    <n v="44.1"/>
    <n v="88.2"/>
    <x v="67"/>
    <x v="75"/>
    <x v="1"/>
    <x v="0"/>
    <x v="2"/>
    <x v="0"/>
    <x v="8"/>
    <n v="12"/>
    <n v="11"/>
    <x v="1"/>
  </r>
  <r>
    <s v="TX501834"/>
    <x v="8"/>
    <n v="4"/>
    <n v="43.5"/>
    <n v="174"/>
    <x v="67"/>
    <x v="72"/>
    <x v="0"/>
    <x v="3"/>
    <x v="0"/>
    <x v="0"/>
    <x v="8"/>
    <n v="6"/>
    <n v="11"/>
    <x v="0"/>
  </r>
  <r>
    <s v="TX501835"/>
    <x v="8"/>
    <n v="3"/>
    <n v="48.2"/>
    <n v="144.60000000000002"/>
    <x v="67"/>
    <x v="64"/>
    <x v="0"/>
    <x v="3"/>
    <x v="1"/>
    <x v="0"/>
    <x v="8"/>
    <n v="4"/>
    <n v="11"/>
    <x v="0"/>
  </r>
  <r>
    <s v="TX501836"/>
    <x v="19"/>
    <n v="1"/>
    <n v="13.7"/>
    <n v="13.7"/>
    <x v="67"/>
    <x v="65"/>
    <x v="1"/>
    <x v="2"/>
    <x v="2"/>
    <x v="0"/>
    <x v="8"/>
    <n v="1"/>
    <n v="11"/>
    <x v="1"/>
  </r>
  <r>
    <s v="TX501837"/>
    <x v="2"/>
    <n v="2"/>
    <n v="110.5"/>
    <n v="221"/>
    <x v="67"/>
    <x v="65"/>
    <x v="1"/>
    <x v="0"/>
    <x v="1"/>
    <x v="0"/>
    <x v="8"/>
    <n v="1"/>
    <n v="11"/>
    <x v="1"/>
  </r>
  <r>
    <s v="TX501838"/>
    <x v="8"/>
    <n v="3"/>
    <n v="26"/>
    <n v="78"/>
    <x v="67"/>
    <x v="67"/>
    <x v="1"/>
    <x v="1"/>
    <x v="1"/>
    <x v="0"/>
    <x v="8"/>
    <n v="5"/>
    <n v="11"/>
    <x v="1"/>
  </r>
  <r>
    <s v="TX501839"/>
    <x v="2"/>
    <n v="10"/>
    <n v="140.69999999999999"/>
    <n v="1407"/>
    <x v="67"/>
    <x v="72"/>
    <x v="0"/>
    <x v="3"/>
    <x v="1"/>
    <x v="0"/>
    <x v="8"/>
    <n v="6"/>
    <n v="11"/>
    <x v="0"/>
  </r>
  <r>
    <s v="TX501840"/>
    <x v="17"/>
    <n v="2"/>
    <n v="41.7"/>
    <n v="83.4"/>
    <x v="67"/>
    <x v="76"/>
    <x v="1"/>
    <x v="0"/>
    <x v="4"/>
    <x v="0"/>
    <x v="8"/>
    <n v="8"/>
    <n v="11"/>
    <x v="1"/>
  </r>
  <r>
    <s v="TX501841"/>
    <x v="2"/>
    <n v="2"/>
    <n v="135.1"/>
    <n v="270.2"/>
    <x v="67"/>
    <x v="65"/>
    <x v="0"/>
    <x v="0"/>
    <x v="2"/>
    <x v="0"/>
    <x v="17"/>
    <n v="1"/>
    <n v="11"/>
    <x v="0"/>
  </r>
  <r>
    <s v="TX501842"/>
    <x v="12"/>
    <n v="22"/>
    <n v="95.5"/>
    <n v="2101"/>
    <x v="67"/>
    <x v="65"/>
    <x v="1"/>
    <x v="4"/>
    <x v="4"/>
    <x v="0"/>
    <x v="26"/>
    <n v="1"/>
    <n v="11"/>
    <x v="1"/>
  </r>
  <r>
    <s v="TX501843"/>
    <x v="15"/>
    <n v="1"/>
    <n v="25.5"/>
    <n v="25.5"/>
    <x v="67"/>
    <x v="74"/>
    <x v="2"/>
    <x v="2"/>
    <x v="2"/>
    <x v="0"/>
    <x v="11"/>
    <n v="3"/>
    <n v="11"/>
    <x v="2"/>
  </r>
  <r>
    <s v="TX501844"/>
    <x v="1"/>
    <n v="1"/>
    <n v="42.6"/>
    <n v="42.6"/>
    <x v="67"/>
    <x v="64"/>
    <x v="1"/>
    <x v="0"/>
    <x v="0"/>
    <x v="0"/>
    <x v="11"/>
    <n v="4"/>
    <n v="11"/>
    <x v="1"/>
  </r>
  <r>
    <s v="TX501845"/>
    <x v="8"/>
    <n v="15"/>
    <n v="32.4"/>
    <n v="486"/>
    <x v="67"/>
    <x v="65"/>
    <x v="0"/>
    <x v="1"/>
    <x v="1"/>
    <x v="0"/>
    <x v="11"/>
    <n v="1"/>
    <n v="11"/>
    <x v="0"/>
  </r>
  <r>
    <s v="TX501846"/>
    <x v="4"/>
    <n v="4"/>
    <n v="20.2"/>
    <n v="80.8"/>
    <x v="67"/>
    <x v="65"/>
    <x v="3"/>
    <x v="2"/>
    <x v="0"/>
    <x v="0"/>
    <x v="11"/>
    <n v="1"/>
    <n v="11"/>
    <x v="3"/>
  </r>
  <r>
    <s v="TX501847"/>
    <x v="16"/>
    <n v="3"/>
    <n v="52.5"/>
    <n v="157.5"/>
    <x v="67"/>
    <x v="67"/>
    <x v="1"/>
    <x v="4"/>
    <x v="0"/>
    <x v="0"/>
    <x v="18"/>
    <n v="5"/>
    <n v="11"/>
    <x v="1"/>
  </r>
  <r>
    <s v="TX501848"/>
    <x v="2"/>
    <n v="5"/>
    <n v="59.9"/>
    <n v="299.5"/>
    <x v="67"/>
    <x v="71"/>
    <x v="1"/>
    <x v="2"/>
    <x v="0"/>
    <x v="0"/>
    <x v="19"/>
    <n v="2"/>
    <n v="11"/>
    <x v="1"/>
  </r>
  <r>
    <s v="TX501849"/>
    <x v="4"/>
    <n v="2"/>
    <n v="53.2"/>
    <n v="106.4"/>
    <x v="67"/>
    <x v="65"/>
    <x v="1"/>
    <x v="1"/>
    <x v="3"/>
    <x v="0"/>
    <x v="20"/>
    <n v="1"/>
    <n v="11"/>
    <x v="1"/>
  </r>
  <r>
    <s v="TX501850"/>
    <x v="2"/>
    <n v="2"/>
    <n v="60"/>
    <n v="120"/>
    <x v="67"/>
    <x v="72"/>
    <x v="0"/>
    <x v="1"/>
    <x v="2"/>
    <x v="0"/>
    <x v="20"/>
    <n v="6"/>
    <n v="11"/>
    <x v="0"/>
  </r>
  <r>
    <s v="TX501851"/>
    <x v="8"/>
    <n v="3"/>
    <n v="29.3"/>
    <n v="87.9"/>
    <x v="67"/>
    <x v="65"/>
    <x v="1"/>
    <x v="4"/>
    <x v="0"/>
    <x v="0"/>
    <x v="13"/>
    <n v="1"/>
    <n v="11"/>
    <x v="1"/>
  </r>
  <r>
    <s v="TX501852"/>
    <x v="12"/>
    <n v="2"/>
    <n v="55.4"/>
    <n v="110.8"/>
    <x v="67"/>
    <x v="65"/>
    <x v="1"/>
    <x v="0"/>
    <x v="2"/>
    <x v="0"/>
    <x v="21"/>
    <n v="1"/>
    <n v="11"/>
    <x v="1"/>
  </r>
  <r>
    <s v="TX501853"/>
    <x v="0"/>
    <n v="5"/>
    <n v="20.100000000000001"/>
    <n v="100.5"/>
    <x v="67"/>
    <x v="71"/>
    <x v="1"/>
    <x v="1"/>
    <x v="2"/>
    <x v="0"/>
    <x v="21"/>
    <n v="2"/>
    <n v="11"/>
    <x v="1"/>
  </r>
  <r>
    <s v="TX501854"/>
    <x v="14"/>
    <n v="5"/>
    <n v="24"/>
    <n v="120"/>
    <x v="67"/>
    <x v="74"/>
    <x v="0"/>
    <x v="2"/>
    <x v="0"/>
    <x v="0"/>
    <x v="1"/>
    <n v="3"/>
    <n v="11"/>
    <x v="0"/>
  </r>
  <r>
    <s v="TX501855"/>
    <x v="8"/>
    <n v="2"/>
    <n v="30.6"/>
    <n v="61.2"/>
    <x v="68"/>
    <x v="74"/>
    <x v="1"/>
    <x v="0"/>
    <x v="0"/>
    <x v="0"/>
    <x v="1"/>
    <n v="2"/>
    <n v="11"/>
    <x v="1"/>
  </r>
  <r>
    <s v="TX501856"/>
    <x v="10"/>
    <n v="5"/>
    <n v="33"/>
    <n v="165"/>
    <x v="68"/>
    <x v="71"/>
    <x v="0"/>
    <x v="1"/>
    <x v="1"/>
    <x v="0"/>
    <x v="27"/>
    <n v="1"/>
    <n v="11"/>
    <x v="0"/>
  </r>
  <r>
    <s v="TX501857"/>
    <x v="17"/>
    <n v="9"/>
    <n v="42.1"/>
    <n v="378.90000000000003"/>
    <x v="68"/>
    <x v="69"/>
    <x v="1"/>
    <x v="2"/>
    <x v="0"/>
    <x v="0"/>
    <x v="44"/>
    <n v="6"/>
    <n v="11"/>
    <x v="1"/>
  </r>
  <r>
    <s v="TX501858"/>
    <x v="6"/>
    <n v="7"/>
    <n v="77.7"/>
    <n v="543.9"/>
    <x v="68"/>
    <x v="72"/>
    <x v="1"/>
    <x v="1"/>
    <x v="2"/>
    <x v="0"/>
    <x v="50"/>
    <n v="5"/>
    <n v="11"/>
    <x v="1"/>
  </r>
  <r>
    <s v="TX501859"/>
    <x v="17"/>
    <n v="6"/>
    <n v="22.7"/>
    <n v="136.19999999999999"/>
    <x v="68"/>
    <x v="64"/>
    <x v="1"/>
    <x v="2"/>
    <x v="0"/>
    <x v="0"/>
    <x v="3"/>
    <n v="3"/>
    <n v="11"/>
    <x v="1"/>
  </r>
  <r>
    <s v="TX501860"/>
    <x v="2"/>
    <n v="2"/>
    <n v="133"/>
    <n v="266"/>
    <x v="68"/>
    <x v="65"/>
    <x v="0"/>
    <x v="2"/>
    <x v="2"/>
    <x v="0"/>
    <x v="3"/>
    <n v="0"/>
    <n v="11"/>
    <x v="0"/>
  </r>
  <r>
    <s v="TX501861"/>
    <x v="0"/>
    <n v="2"/>
    <n v="23.3"/>
    <n v="46.6"/>
    <x v="68"/>
    <x v="71"/>
    <x v="0"/>
    <x v="1"/>
    <x v="2"/>
    <x v="0"/>
    <x v="3"/>
    <n v="1"/>
    <n v="11"/>
    <x v="0"/>
  </r>
  <r>
    <s v="TX501862"/>
    <x v="8"/>
    <n v="3"/>
    <n v="20.7"/>
    <n v="62.099999999999994"/>
    <x v="68"/>
    <x v="74"/>
    <x v="3"/>
    <x v="0"/>
    <x v="2"/>
    <x v="0"/>
    <x v="3"/>
    <n v="2"/>
    <n v="11"/>
    <x v="3"/>
  </r>
  <r>
    <s v="TX501863"/>
    <x v="12"/>
    <n v="2"/>
    <n v="47"/>
    <n v="94"/>
    <x v="68"/>
    <x v="71"/>
    <x v="0"/>
    <x v="1"/>
    <x v="2"/>
    <x v="0"/>
    <x v="3"/>
    <n v="1"/>
    <n v="11"/>
    <x v="0"/>
  </r>
  <r>
    <s v="TX501864"/>
    <x v="12"/>
    <n v="3"/>
    <n v="38.200000000000003"/>
    <n v="114.60000000000001"/>
    <x v="68"/>
    <x v="74"/>
    <x v="1"/>
    <x v="2"/>
    <x v="4"/>
    <x v="0"/>
    <x v="3"/>
    <n v="2"/>
    <n v="11"/>
    <x v="1"/>
  </r>
  <r>
    <s v="TX501865"/>
    <x v="9"/>
    <n v="1"/>
    <n v="39.1"/>
    <n v="39.1"/>
    <x v="68"/>
    <x v="74"/>
    <x v="1"/>
    <x v="0"/>
    <x v="0"/>
    <x v="0"/>
    <x v="3"/>
    <n v="2"/>
    <n v="11"/>
    <x v="1"/>
  </r>
  <r>
    <s v="TX501866"/>
    <x v="7"/>
    <n v="25"/>
    <n v="55.6"/>
    <n v="1390"/>
    <x v="68"/>
    <x v="74"/>
    <x v="0"/>
    <x v="0"/>
    <x v="2"/>
    <x v="0"/>
    <x v="3"/>
    <n v="2"/>
    <n v="11"/>
    <x v="0"/>
  </r>
  <r>
    <s v="TX501867"/>
    <x v="15"/>
    <n v="1"/>
    <n v="43.1"/>
    <n v="43.1"/>
    <x v="68"/>
    <x v="65"/>
    <x v="3"/>
    <x v="1"/>
    <x v="2"/>
    <x v="0"/>
    <x v="3"/>
    <n v="0"/>
    <n v="11"/>
    <x v="3"/>
  </r>
  <r>
    <s v="TX501868"/>
    <x v="6"/>
    <n v="4"/>
    <n v="48.1"/>
    <n v="192.4"/>
    <x v="68"/>
    <x v="71"/>
    <x v="1"/>
    <x v="4"/>
    <x v="2"/>
    <x v="0"/>
    <x v="3"/>
    <n v="1"/>
    <n v="11"/>
    <x v="1"/>
  </r>
  <r>
    <s v="TX501869"/>
    <x v="4"/>
    <n v="1"/>
    <n v="42"/>
    <n v="42"/>
    <x v="68"/>
    <x v="71"/>
    <x v="3"/>
    <x v="0"/>
    <x v="0"/>
    <x v="0"/>
    <x v="3"/>
    <n v="1"/>
    <n v="11"/>
    <x v="3"/>
  </r>
  <r>
    <s v="TX501870"/>
    <x v="8"/>
    <n v="5"/>
    <n v="18.3"/>
    <n v="91.5"/>
    <x v="68"/>
    <x v="65"/>
    <x v="1"/>
    <x v="2"/>
    <x v="0"/>
    <x v="0"/>
    <x v="3"/>
    <n v="0"/>
    <n v="11"/>
    <x v="1"/>
  </r>
  <r>
    <s v="TX501871"/>
    <x v="10"/>
    <n v="4"/>
    <n v="45.3"/>
    <n v="181.2"/>
    <x v="68"/>
    <x v="64"/>
    <x v="1"/>
    <x v="0"/>
    <x v="2"/>
    <x v="0"/>
    <x v="3"/>
    <n v="3"/>
    <n v="11"/>
    <x v="1"/>
  </r>
  <r>
    <s v="TX501872"/>
    <x v="0"/>
    <n v="2"/>
    <n v="27.6"/>
    <n v="55.2"/>
    <x v="68"/>
    <x v="74"/>
    <x v="0"/>
    <x v="0"/>
    <x v="2"/>
    <x v="0"/>
    <x v="37"/>
    <n v="2"/>
    <n v="11"/>
    <x v="0"/>
  </r>
  <r>
    <s v="TX501873"/>
    <x v="4"/>
    <n v="5"/>
    <n v="26.9"/>
    <n v="134.5"/>
    <x v="68"/>
    <x v="71"/>
    <x v="1"/>
    <x v="2"/>
    <x v="0"/>
    <x v="0"/>
    <x v="25"/>
    <n v="1"/>
    <n v="11"/>
    <x v="1"/>
  </r>
  <r>
    <s v="TX501874"/>
    <x v="2"/>
    <n v="9"/>
    <n v="82.4"/>
    <n v="741.6"/>
    <x v="68"/>
    <x v="74"/>
    <x v="3"/>
    <x v="2"/>
    <x v="0"/>
    <x v="0"/>
    <x v="5"/>
    <n v="2"/>
    <n v="11"/>
    <x v="3"/>
  </r>
  <r>
    <s v="TX501875"/>
    <x v="6"/>
    <n v="1"/>
    <n v="103.7"/>
    <n v="103.7"/>
    <x v="68"/>
    <x v="74"/>
    <x v="1"/>
    <x v="1"/>
    <x v="0"/>
    <x v="0"/>
    <x v="5"/>
    <n v="2"/>
    <n v="11"/>
    <x v="1"/>
  </r>
  <r>
    <s v="TX501876"/>
    <x v="2"/>
    <n v="2"/>
    <n v="58.8"/>
    <n v="117.6"/>
    <x v="68"/>
    <x v="72"/>
    <x v="1"/>
    <x v="1"/>
    <x v="2"/>
    <x v="0"/>
    <x v="6"/>
    <n v="5"/>
    <n v="11"/>
    <x v="1"/>
  </r>
  <r>
    <s v="TX501877"/>
    <x v="13"/>
    <n v="1"/>
    <n v="31.5"/>
    <n v="31.5"/>
    <x v="68"/>
    <x v="71"/>
    <x v="1"/>
    <x v="1"/>
    <x v="1"/>
    <x v="0"/>
    <x v="6"/>
    <n v="1"/>
    <n v="11"/>
    <x v="1"/>
  </r>
  <r>
    <s v="TX501878"/>
    <x v="7"/>
    <n v="5"/>
    <n v="36.799999999999997"/>
    <n v="184"/>
    <x v="68"/>
    <x v="74"/>
    <x v="1"/>
    <x v="0"/>
    <x v="0"/>
    <x v="0"/>
    <x v="8"/>
    <n v="2"/>
    <n v="11"/>
    <x v="1"/>
  </r>
  <r>
    <s v="TX501879"/>
    <x v="3"/>
    <n v="1"/>
    <n v="84.4"/>
    <n v="84.4"/>
    <x v="68"/>
    <x v="71"/>
    <x v="1"/>
    <x v="0"/>
    <x v="0"/>
    <x v="0"/>
    <x v="8"/>
    <n v="1"/>
    <n v="11"/>
    <x v="1"/>
  </r>
  <r>
    <s v="TX501880"/>
    <x v="14"/>
    <n v="1"/>
    <n v="44.7"/>
    <n v="44.7"/>
    <x v="68"/>
    <x v="71"/>
    <x v="0"/>
    <x v="0"/>
    <x v="1"/>
    <x v="0"/>
    <x v="8"/>
    <n v="1"/>
    <n v="11"/>
    <x v="0"/>
  </r>
  <r>
    <s v="TX501881"/>
    <x v="9"/>
    <n v="8"/>
    <n v="39.4"/>
    <n v="315.2"/>
    <x v="68"/>
    <x v="71"/>
    <x v="1"/>
    <x v="1"/>
    <x v="2"/>
    <x v="0"/>
    <x v="8"/>
    <n v="1"/>
    <n v="11"/>
    <x v="1"/>
  </r>
  <r>
    <s v="TX501882"/>
    <x v="11"/>
    <n v="4"/>
    <n v="34.9"/>
    <n v="139.6"/>
    <x v="68"/>
    <x v="74"/>
    <x v="1"/>
    <x v="0"/>
    <x v="2"/>
    <x v="0"/>
    <x v="8"/>
    <n v="2"/>
    <n v="11"/>
    <x v="1"/>
  </r>
  <r>
    <s v="TX501883"/>
    <x v="1"/>
    <n v="3"/>
    <n v="62.3"/>
    <n v="186.89999999999998"/>
    <x v="68"/>
    <x v="74"/>
    <x v="0"/>
    <x v="4"/>
    <x v="2"/>
    <x v="0"/>
    <x v="8"/>
    <n v="2"/>
    <n v="11"/>
    <x v="0"/>
  </r>
  <r>
    <s v="TX501884"/>
    <x v="8"/>
    <n v="4"/>
    <n v="21.1"/>
    <n v="84.4"/>
    <x v="68"/>
    <x v="64"/>
    <x v="0"/>
    <x v="3"/>
    <x v="0"/>
    <x v="0"/>
    <x v="8"/>
    <n v="3"/>
    <n v="11"/>
    <x v="0"/>
  </r>
  <r>
    <s v="TX501885"/>
    <x v="8"/>
    <n v="3"/>
    <n v="33.200000000000003"/>
    <n v="99.600000000000009"/>
    <x v="68"/>
    <x v="77"/>
    <x v="2"/>
    <x v="0"/>
    <x v="4"/>
    <x v="0"/>
    <x v="8"/>
    <n v="14"/>
    <n v="11"/>
    <x v="2"/>
  </r>
  <r>
    <s v="TX501886"/>
    <x v="1"/>
    <n v="4"/>
    <n v="74.5"/>
    <n v="298"/>
    <x v="68"/>
    <x v="71"/>
    <x v="0"/>
    <x v="4"/>
    <x v="0"/>
    <x v="0"/>
    <x v="8"/>
    <n v="1"/>
    <n v="11"/>
    <x v="0"/>
  </r>
  <r>
    <s v="TX501887"/>
    <x v="10"/>
    <n v="12"/>
    <n v="68.599999999999994"/>
    <n v="823.19999999999993"/>
    <x v="68"/>
    <x v="64"/>
    <x v="1"/>
    <x v="0"/>
    <x v="2"/>
    <x v="0"/>
    <x v="8"/>
    <n v="3"/>
    <n v="11"/>
    <x v="1"/>
  </r>
  <r>
    <s v="TX501888"/>
    <x v="5"/>
    <n v="14"/>
    <n v="36.4"/>
    <n v="509.59999999999997"/>
    <x v="68"/>
    <x v="74"/>
    <x v="1"/>
    <x v="0"/>
    <x v="1"/>
    <x v="0"/>
    <x v="9"/>
    <n v="2"/>
    <n v="11"/>
    <x v="1"/>
  </r>
  <r>
    <s v="TX501889"/>
    <x v="16"/>
    <n v="5"/>
    <n v="67.599999999999994"/>
    <n v="338"/>
    <x v="69"/>
    <x v="67"/>
    <x v="1"/>
    <x v="4"/>
    <x v="1"/>
    <x v="0"/>
    <x v="9"/>
    <n v="3"/>
    <n v="11"/>
    <x v="1"/>
  </r>
  <r>
    <s v="TX501890"/>
    <x v="15"/>
    <n v="1"/>
    <n v="46.3"/>
    <n v="46.3"/>
    <x v="69"/>
    <x v="74"/>
    <x v="0"/>
    <x v="2"/>
    <x v="0"/>
    <x v="0"/>
    <x v="9"/>
    <n v="1"/>
    <n v="11"/>
    <x v="0"/>
  </r>
  <r>
    <s v="TX501891"/>
    <x v="1"/>
    <n v="3"/>
    <n v="124.2"/>
    <n v="372.6"/>
    <x v="69"/>
    <x v="64"/>
    <x v="1"/>
    <x v="1"/>
    <x v="2"/>
    <x v="0"/>
    <x v="11"/>
    <n v="2"/>
    <n v="11"/>
    <x v="1"/>
  </r>
  <r>
    <s v="TX501892"/>
    <x v="10"/>
    <n v="2"/>
    <n v="37"/>
    <n v="74"/>
    <x v="69"/>
    <x v="76"/>
    <x v="0"/>
    <x v="0"/>
    <x v="0"/>
    <x v="0"/>
    <x v="11"/>
    <n v="6"/>
    <n v="11"/>
    <x v="0"/>
  </r>
  <r>
    <s v="TX501893"/>
    <x v="5"/>
    <n v="1"/>
    <n v="41.8"/>
    <n v="41.8"/>
    <x v="69"/>
    <x v="74"/>
    <x v="0"/>
    <x v="2"/>
    <x v="0"/>
    <x v="0"/>
    <x v="31"/>
    <n v="1"/>
    <n v="11"/>
    <x v="0"/>
  </r>
  <r>
    <s v="TX501894"/>
    <x v="9"/>
    <n v="2"/>
    <n v="57.2"/>
    <n v="114.4"/>
    <x v="69"/>
    <x v="64"/>
    <x v="0"/>
    <x v="2"/>
    <x v="1"/>
    <x v="0"/>
    <x v="20"/>
    <n v="2"/>
    <n v="11"/>
    <x v="0"/>
  </r>
  <r>
    <s v="TX501895"/>
    <x v="6"/>
    <n v="2"/>
    <n v="47.1"/>
    <n v="94.2"/>
    <x v="69"/>
    <x v="64"/>
    <x v="1"/>
    <x v="0"/>
    <x v="4"/>
    <x v="0"/>
    <x v="20"/>
    <n v="2"/>
    <n v="11"/>
    <x v="1"/>
  </r>
  <r>
    <s v="TX501896"/>
    <x v="5"/>
    <n v="3"/>
    <n v="86.4"/>
    <n v="259.20000000000005"/>
    <x v="69"/>
    <x v="74"/>
    <x v="0"/>
    <x v="2"/>
    <x v="1"/>
    <x v="0"/>
    <x v="52"/>
    <n v="1"/>
    <n v="11"/>
    <x v="0"/>
  </r>
  <r>
    <s v="TX501897"/>
    <x v="6"/>
    <n v="5"/>
    <n v="105"/>
    <n v="525"/>
    <x v="69"/>
    <x v="67"/>
    <x v="0"/>
    <x v="0"/>
    <x v="0"/>
    <x v="0"/>
    <x v="13"/>
    <n v="3"/>
    <n v="11"/>
    <x v="0"/>
  </r>
  <r>
    <s v="TX501898"/>
    <x v="18"/>
    <n v="1"/>
    <n v="33"/>
    <n v="33"/>
    <x v="69"/>
    <x v="67"/>
    <x v="0"/>
    <x v="4"/>
    <x v="0"/>
    <x v="0"/>
    <x v="21"/>
    <n v="3"/>
    <n v="11"/>
    <x v="0"/>
  </r>
  <r>
    <s v="TX501899"/>
    <x v="6"/>
    <n v="5"/>
    <n v="106.6"/>
    <n v="533"/>
    <x v="69"/>
    <x v="77"/>
    <x v="1"/>
    <x v="2"/>
    <x v="0"/>
    <x v="0"/>
    <x v="1"/>
    <n v="13"/>
    <n v="11"/>
    <x v="1"/>
  </r>
  <r>
    <s v="TX501900"/>
    <x v="10"/>
    <n v="32"/>
    <n v="26.8"/>
    <n v="857.6"/>
    <x v="69"/>
    <x v="74"/>
    <x v="1"/>
    <x v="2"/>
    <x v="0"/>
    <x v="0"/>
    <x v="1"/>
    <n v="1"/>
    <n v="11"/>
    <x v="1"/>
  </r>
  <r>
    <s v="TX501901"/>
    <x v="17"/>
    <n v="5"/>
    <n v="25.8"/>
    <n v="129"/>
    <x v="69"/>
    <x v="71"/>
    <x v="1"/>
    <x v="1"/>
    <x v="2"/>
    <x v="0"/>
    <x v="3"/>
    <n v="0"/>
    <n v="11"/>
    <x v="1"/>
  </r>
  <r>
    <s v="TX501902"/>
    <x v="2"/>
    <n v="3"/>
    <n v="217"/>
    <n v="651"/>
    <x v="69"/>
    <x v="74"/>
    <x v="1"/>
    <x v="1"/>
    <x v="1"/>
    <x v="0"/>
    <x v="3"/>
    <n v="1"/>
    <n v="11"/>
    <x v="1"/>
  </r>
  <r>
    <s v="TX501903"/>
    <x v="2"/>
    <n v="2"/>
    <n v="97.3"/>
    <n v="194.6"/>
    <x v="69"/>
    <x v="74"/>
    <x v="0"/>
    <x v="2"/>
    <x v="4"/>
    <x v="0"/>
    <x v="3"/>
    <n v="1"/>
    <n v="11"/>
    <x v="0"/>
  </r>
  <r>
    <s v="TX501904"/>
    <x v="1"/>
    <n v="1"/>
    <n v="49.8"/>
    <n v="49.8"/>
    <x v="69"/>
    <x v="74"/>
    <x v="1"/>
    <x v="0"/>
    <x v="0"/>
    <x v="0"/>
    <x v="3"/>
    <n v="1"/>
    <n v="11"/>
    <x v="1"/>
  </r>
  <r>
    <s v="TX501905"/>
    <x v="12"/>
    <n v="5"/>
    <n v="32.6"/>
    <n v="163"/>
    <x v="69"/>
    <x v="74"/>
    <x v="1"/>
    <x v="0"/>
    <x v="0"/>
    <x v="0"/>
    <x v="3"/>
    <n v="1"/>
    <n v="11"/>
    <x v="1"/>
  </r>
  <r>
    <s v="TX501906"/>
    <x v="9"/>
    <n v="2"/>
    <n v="40.1"/>
    <n v="80.2"/>
    <x v="69"/>
    <x v="67"/>
    <x v="0"/>
    <x v="1"/>
    <x v="2"/>
    <x v="0"/>
    <x v="3"/>
    <n v="3"/>
    <n v="11"/>
    <x v="0"/>
  </r>
  <r>
    <s v="TX501907"/>
    <x v="10"/>
    <n v="2"/>
    <n v="49.4"/>
    <n v="98.8"/>
    <x v="69"/>
    <x v="64"/>
    <x v="0"/>
    <x v="1"/>
    <x v="0"/>
    <x v="0"/>
    <x v="3"/>
    <n v="2"/>
    <n v="11"/>
    <x v="0"/>
  </r>
  <r>
    <s v="TX501908"/>
    <x v="2"/>
    <n v="1"/>
    <n v="67.3"/>
    <n v="67.3"/>
    <x v="69"/>
    <x v="74"/>
    <x v="1"/>
    <x v="0"/>
    <x v="2"/>
    <x v="0"/>
    <x v="3"/>
    <n v="1"/>
    <n v="11"/>
    <x v="1"/>
  </r>
  <r>
    <s v="TX501909"/>
    <x v="18"/>
    <n v="4"/>
    <n v="44.5"/>
    <n v="178"/>
    <x v="69"/>
    <x v="67"/>
    <x v="2"/>
    <x v="1"/>
    <x v="0"/>
    <x v="0"/>
    <x v="3"/>
    <n v="3"/>
    <n v="11"/>
    <x v="2"/>
  </r>
  <r>
    <s v="TX501910"/>
    <x v="6"/>
    <n v="11"/>
    <n v="111.1"/>
    <n v="1222.0999999999999"/>
    <x v="69"/>
    <x v="74"/>
    <x v="1"/>
    <x v="4"/>
    <x v="0"/>
    <x v="0"/>
    <x v="3"/>
    <n v="1"/>
    <n v="11"/>
    <x v="1"/>
  </r>
  <r>
    <s v="TX501911"/>
    <x v="8"/>
    <n v="3"/>
    <n v="19.7"/>
    <n v="59.099999999999994"/>
    <x v="69"/>
    <x v="74"/>
    <x v="1"/>
    <x v="4"/>
    <x v="4"/>
    <x v="0"/>
    <x v="3"/>
    <n v="1"/>
    <n v="11"/>
    <x v="1"/>
  </r>
  <r>
    <s v="TX501912"/>
    <x v="1"/>
    <n v="1"/>
    <n v="40.299999999999997"/>
    <n v="40.299999999999997"/>
    <x v="69"/>
    <x v="74"/>
    <x v="3"/>
    <x v="1"/>
    <x v="0"/>
    <x v="0"/>
    <x v="3"/>
    <n v="1"/>
    <n v="11"/>
    <x v="3"/>
  </r>
  <r>
    <s v="TX501913"/>
    <x v="6"/>
    <n v="2"/>
    <n v="108.8"/>
    <n v="217.6"/>
    <x v="69"/>
    <x v="69"/>
    <x v="0"/>
    <x v="0"/>
    <x v="2"/>
    <x v="0"/>
    <x v="6"/>
    <n v="5"/>
    <n v="11"/>
    <x v="0"/>
  </r>
  <r>
    <s v="TX501914"/>
    <x v="8"/>
    <n v="3"/>
    <n v="48.2"/>
    <n v="144.60000000000002"/>
    <x v="69"/>
    <x v="69"/>
    <x v="1"/>
    <x v="4"/>
    <x v="0"/>
    <x v="0"/>
    <x v="7"/>
    <n v="5"/>
    <n v="11"/>
    <x v="1"/>
  </r>
  <r>
    <s v="TX501915"/>
    <x v="2"/>
    <n v="3"/>
    <n v="104.7"/>
    <n v="314.10000000000002"/>
    <x v="69"/>
    <x v="64"/>
    <x v="1"/>
    <x v="0"/>
    <x v="1"/>
    <x v="0"/>
    <x v="7"/>
    <n v="2"/>
    <n v="11"/>
    <x v="1"/>
  </r>
  <r>
    <s v="TX501916"/>
    <x v="1"/>
    <n v="2"/>
    <n v="80.599999999999994"/>
    <n v="161.19999999999999"/>
    <x v="69"/>
    <x v="71"/>
    <x v="1"/>
    <x v="1"/>
    <x v="0"/>
    <x v="0"/>
    <x v="8"/>
    <n v="0"/>
    <n v="11"/>
    <x v="1"/>
  </r>
  <r>
    <s v="TX501917"/>
    <x v="6"/>
    <n v="1"/>
    <n v="65.5"/>
    <n v="65.5"/>
    <x v="69"/>
    <x v="64"/>
    <x v="3"/>
    <x v="1"/>
    <x v="0"/>
    <x v="0"/>
    <x v="8"/>
    <n v="2"/>
    <n v="11"/>
    <x v="3"/>
  </r>
  <r>
    <s v="TX501918"/>
    <x v="9"/>
    <n v="3"/>
    <n v="61.4"/>
    <n v="184.2"/>
    <x v="69"/>
    <x v="64"/>
    <x v="1"/>
    <x v="4"/>
    <x v="2"/>
    <x v="0"/>
    <x v="8"/>
    <n v="2"/>
    <n v="11"/>
    <x v="1"/>
  </r>
  <r>
    <s v="TX501919"/>
    <x v="0"/>
    <n v="1"/>
    <n v="12.5"/>
    <n v="12.5"/>
    <x v="70"/>
    <x v="72"/>
    <x v="1"/>
    <x v="0"/>
    <x v="1"/>
    <x v="0"/>
    <x v="8"/>
    <n v="3"/>
    <n v="11"/>
    <x v="1"/>
  </r>
  <r>
    <s v="TX501920"/>
    <x v="4"/>
    <n v="4"/>
    <n v="35.1"/>
    <n v="140.4"/>
    <x v="70"/>
    <x v="64"/>
    <x v="0"/>
    <x v="2"/>
    <x v="1"/>
    <x v="0"/>
    <x v="17"/>
    <n v="1"/>
    <n v="11"/>
    <x v="0"/>
  </r>
  <r>
    <s v="TX501921"/>
    <x v="5"/>
    <n v="2"/>
    <n v="55.7"/>
    <n v="111.4"/>
    <x v="70"/>
    <x v="64"/>
    <x v="0"/>
    <x v="0"/>
    <x v="1"/>
    <x v="0"/>
    <x v="26"/>
    <n v="1"/>
    <n v="11"/>
    <x v="0"/>
  </r>
  <r>
    <s v="TX501922"/>
    <x v="7"/>
    <n v="2"/>
    <n v="57.7"/>
    <n v="115.4"/>
    <x v="70"/>
    <x v="67"/>
    <x v="0"/>
    <x v="4"/>
    <x v="1"/>
    <x v="0"/>
    <x v="9"/>
    <n v="2"/>
    <n v="11"/>
    <x v="0"/>
  </r>
  <r>
    <s v="TX501923"/>
    <x v="2"/>
    <n v="6"/>
    <n v="85.7"/>
    <n v="514.20000000000005"/>
    <x v="70"/>
    <x v="64"/>
    <x v="0"/>
    <x v="3"/>
    <x v="2"/>
    <x v="0"/>
    <x v="9"/>
    <n v="1"/>
    <n v="11"/>
    <x v="0"/>
  </r>
  <r>
    <s v="TX501924"/>
    <x v="2"/>
    <n v="3"/>
    <n v="86.9"/>
    <n v="260.70000000000005"/>
    <x v="70"/>
    <x v="67"/>
    <x v="1"/>
    <x v="1"/>
    <x v="0"/>
    <x v="0"/>
    <x v="11"/>
    <n v="2"/>
    <n v="11"/>
    <x v="1"/>
  </r>
  <r>
    <s v="TX501925"/>
    <x v="18"/>
    <n v="2"/>
    <n v="46.4"/>
    <n v="92.8"/>
    <x v="70"/>
    <x v="72"/>
    <x v="1"/>
    <x v="4"/>
    <x v="0"/>
    <x v="0"/>
    <x v="11"/>
    <n v="3"/>
    <n v="11"/>
    <x v="1"/>
  </r>
  <r>
    <s v="TX501926"/>
    <x v="5"/>
    <n v="3"/>
    <n v="25.4"/>
    <n v="76.199999999999989"/>
    <x v="70"/>
    <x v="74"/>
    <x v="1"/>
    <x v="2"/>
    <x v="2"/>
    <x v="0"/>
    <x v="18"/>
    <n v="0"/>
    <n v="11"/>
    <x v="1"/>
  </r>
  <r>
    <s v="TX501927"/>
    <x v="10"/>
    <n v="3"/>
    <n v="47.8"/>
    <n v="143.39999999999998"/>
    <x v="70"/>
    <x v="74"/>
    <x v="2"/>
    <x v="2"/>
    <x v="2"/>
    <x v="0"/>
    <x v="19"/>
    <n v="0"/>
    <n v="11"/>
    <x v="2"/>
  </r>
  <r>
    <s v="TX501928"/>
    <x v="8"/>
    <n v="19"/>
    <n v="18.399999999999999"/>
    <n v="349.59999999999997"/>
    <x v="70"/>
    <x v="67"/>
    <x v="3"/>
    <x v="2"/>
    <x v="0"/>
    <x v="0"/>
    <x v="20"/>
    <n v="2"/>
    <n v="11"/>
    <x v="3"/>
  </r>
  <r>
    <s v="TX501929"/>
    <x v="12"/>
    <n v="3"/>
    <n v="65.5"/>
    <n v="196.5"/>
    <x v="70"/>
    <x v="78"/>
    <x v="1"/>
    <x v="0"/>
    <x v="0"/>
    <x v="0"/>
    <x v="21"/>
    <n v="8"/>
    <n v="11"/>
    <x v="1"/>
  </r>
  <r>
    <s v="TX501930"/>
    <x v="10"/>
    <n v="2"/>
    <n v="50.6"/>
    <n v="101.2"/>
    <x v="70"/>
    <x v="72"/>
    <x v="0"/>
    <x v="2"/>
    <x v="4"/>
    <x v="0"/>
    <x v="21"/>
    <n v="3"/>
    <n v="11"/>
    <x v="0"/>
  </r>
  <r>
    <s v="TX501931"/>
    <x v="3"/>
    <n v="5"/>
    <n v="69"/>
    <n v="345"/>
    <x v="70"/>
    <x v="69"/>
    <x v="0"/>
    <x v="3"/>
    <x v="0"/>
    <x v="0"/>
    <x v="21"/>
    <n v="4"/>
    <n v="11"/>
    <x v="0"/>
  </r>
  <r>
    <s v="TX501932"/>
    <x v="9"/>
    <n v="8"/>
    <n v="51.1"/>
    <n v="408.8"/>
    <x v="70"/>
    <x v="67"/>
    <x v="1"/>
    <x v="0"/>
    <x v="0"/>
    <x v="0"/>
    <x v="1"/>
    <n v="2"/>
    <n v="11"/>
    <x v="1"/>
  </r>
  <r>
    <s v="TX501933"/>
    <x v="9"/>
    <n v="1"/>
    <n v="36.1"/>
    <n v="36.1"/>
    <x v="70"/>
    <x v="64"/>
    <x v="1"/>
    <x v="0"/>
    <x v="2"/>
    <x v="0"/>
    <x v="34"/>
    <n v="1"/>
    <n v="11"/>
    <x v="1"/>
  </r>
  <r>
    <s v="TX501934"/>
    <x v="14"/>
    <n v="1"/>
    <n v="18.7"/>
    <n v="18.7"/>
    <x v="70"/>
    <x v="64"/>
    <x v="0"/>
    <x v="0"/>
    <x v="0"/>
    <x v="0"/>
    <x v="3"/>
    <n v="1"/>
    <n v="11"/>
    <x v="0"/>
  </r>
  <r>
    <s v="TX501935"/>
    <x v="17"/>
    <n v="1"/>
    <n v="30.1"/>
    <n v="30.1"/>
    <x v="70"/>
    <x v="72"/>
    <x v="1"/>
    <x v="3"/>
    <x v="1"/>
    <x v="0"/>
    <x v="3"/>
    <n v="3"/>
    <n v="11"/>
    <x v="1"/>
  </r>
  <r>
    <s v="TX501936"/>
    <x v="8"/>
    <n v="1"/>
    <n v="16.3"/>
    <n v="16.3"/>
    <x v="70"/>
    <x v="64"/>
    <x v="0"/>
    <x v="3"/>
    <x v="0"/>
    <x v="0"/>
    <x v="3"/>
    <n v="1"/>
    <n v="11"/>
    <x v="0"/>
  </r>
  <r>
    <s v="TX501937"/>
    <x v="1"/>
    <n v="3"/>
    <n v="63.8"/>
    <n v="191.39999999999998"/>
    <x v="70"/>
    <x v="76"/>
    <x v="1"/>
    <x v="2"/>
    <x v="1"/>
    <x v="0"/>
    <x v="3"/>
    <n v="5"/>
    <n v="11"/>
    <x v="1"/>
  </r>
  <r>
    <s v="TX501938"/>
    <x v="1"/>
    <n v="7"/>
    <n v="73.900000000000006"/>
    <n v="517.30000000000007"/>
    <x v="70"/>
    <x v="74"/>
    <x v="1"/>
    <x v="0"/>
    <x v="1"/>
    <x v="0"/>
    <x v="3"/>
    <n v="0"/>
    <n v="11"/>
    <x v="1"/>
  </r>
  <r>
    <s v="TX501939"/>
    <x v="0"/>
    <n v="2"/>
    <n v="20.2"/>
    <n v="40.4"/>
    <x v="70"/>
    <x v="64"/>
    <x v="0"/>
    <x v="0"/>
    <x v="1"/>
    <x v="0"/>
    <x v="3"/>
    <n v="1"/>
    <n v="11"/>
    <x v="0"/>
  </r>
  <r>
    <s v="TX501940"/>
    <x v="11"/>
    <n v="11"/>
    <n v="29.5"/>
    <n v="324.5"/>
    <x v="70"/>
    <x v="64"/>
    <x v="0"/>
    <x v="0"/>
    <x v="0"/>
    <x v="0"/>
    <x v="3"/>
    <n v="1"/>
    <n v="11"/>
    <x v="0"/>
  </r>
  <r>
    <s v="TX501941"/>
    <x v="15"/>
    <n v="7"/>
    <n v="37.9"/>
    <n v="265.3"/>
    <x v="70"/>
    <x v="64"/>
    <x v="0"/>
    <x v="1"/>
    <x v="0"/>
    <x v="0"/>
    <x v="3"/>
    <n v="1"/>
    <n v="11"/>
    <x v="0"/>
  </r>
  <r>
    <s v="TX501942"/>
    <x v="2"/>
    <n v="1"/>
    <n v="56.5"/>
    <n v="56.5"/>
    <x v="70"/>
    <x v="64"/>
    <x v="1"/>
    <x v="2"/>
    <x v="1"/>
    <x v="0"/>
    <x v="3"/>
    <n v="1"/>
    <n v="11"/>
    <x v="1"/>
  </r>
  <r>
    <s v="TX501943"/>
    <x v="2"/>
    <n v="2"/>
    <n v="66.900000000000006"/>
    <n v="133.80000000000001"/>
    <x v="70"/>
    <x v="73"/>
    <x v="0"/>
    <x v="1"/>
    <x v="4"/>
    <x v="0"/>
    <x v="25"/>
    <n v="6"/>
    <n v="11"/>
    <x v="0"/>
  </r>
  <r>
    <s v="TX501944"/>
    <x v="2"/>
    <n v="5"/>
    <n v="51.9"/>
    <n v="259.5"/>
    <x v="70"/>
    <x v="72"/>
    <x v="0"/>
    <x v="1"/>
    <x v="0"/>
    <x v="0"/>
    <x v="7"/>
    <n v="3"/>
    <n v="11"/>
    <x v="0"/>
  </r>
  <r>
    <s v="TX501945"/>
    <x v="2"/>
    <n v="2"/>
    <n v="75.599999999999994"/>
    <n v="151.19999999999999"/>
    <x v="70"/>
    <x v="72"/>
    <x v="0"/>
    <x v="1"/>
    <x v="0"/>
    <x v="0"/>
    <x v="8"/>
    <n v="3"/>
    <n v="11"/>
    <x v="0"/>
  </r>
  <r>
    <s v="TX501946"/>
    <x v="12"/>
    <n v="6"/>
    <n v="47.3"/>
    <n v="283.79999999999995"/>
    <x v="70"/>
    <x v="79"/>
    <x v="0"/>
    <x v="0"/>
    <x v="0"/>
    <x v="0"/>
    <x v="8"/>
    <n v="11"/>
    <n v="11"/>
    <x v="0"/>
  </r>
  <r>
    <s v="TX501947"/>
    <x v="4"/>
    <n v="1"/>
    <n v="20.6"/>
    <n v="20.6"/>
    <x v="70"/>
    <x v="64"/>
    <x v="2"/>
    <x v="0"/>
    <x v="1"/>
    <x v="0"/>
    <x v="8"/>
    <n v="1"/>
    <n v="11"/>
    <x v="2"/>
  </r>
  <r>
    <s v="TX501948"/>
    <x v="6"/>
    <n v="3"/>
    <n v="49.7"/>
    <n v="149.10000000000002"/>
    <x v="70"/>
    <x v="67"/>
    <x v="0"/>
    <x v="0"/>
    <x v="1"/>
    <x v="0"/>
    <x v="8"/>
    <n v="2"/>
    <n v="11"/>
    <x v="0"/>
  </r>
  <r>
    <s v="TX501949"/>
    <x v="3"/>
    <n v="1"/>
    <n v="37.9"/>
    <n v="37.9"/>
    <x v="70"/>
    <x v="67"/>
    <x v="1"/>
    <x v="0"/>
    <x v="0"/>
    <x v="0"/>
    <x v="8"/>
    <n v="2"/>
    <n v="11"/>
    <x v="1"/>
  </r>
  <r>
    <s v="TX501950"/>
    <x v="13"/>
    <n v="15"/>
    <n v="32"/>
    <n v="480"/>
    <x v="70"/>
    <x v="67"/>
    <x v="1"/>
    <x v="4"/>
    <x v="0"/>
    <x v="0"/>
    <x v="11"/>
    <n v="2"/>
    <n v="11"/>
    <x v="1"/>
  </r>
  <r>
    <s v="TX501951"/>
    <x v="10"/>
    <n v="18"/>
    <n v="38.5"/>
    <n v="693"/>
    <x v="71"/>
    <x v="67"/>
    <x v="0"/>
    <x v="0"/>
    <x v="2"/>
    <x v="0"/>
    <x v="11"/>
    <n v="1"/>
    <n v="11"/>
    <x v="0"/>
  </r>
  <r>
    <s v="TX501952"/>
    <x v="0"/>
    <n v="4"/>
    <n v="11.7"/>
    <n v="46.8"/>
    <x v="71"/>
    <x v="72"/>
    <x v="1"/>
    <x v="1"/>
    <x v="0"/>
    <x v="0"/>
    <x v="20"/>
    <n v="2"/>
    <n v="11"/>
    <x v="1"/>
  </r>
  <r>
    <s v="TX501953"/>
    <x v="3"/>
    <n v="6"/>
    <n v="83.8"/>
    <n v="502.79999999999995"/>
    <x v="71"/>
    <x v="67"/>
    <x v="0"/>
    <x v="0"/>
    <x v="0"/>
    <x v="0"/>
    <x v="21"/>
    <n v="1"/>
    <n v="11"/>
    <x v="0"/>
  </r>
  <r>
    <s v="TX501954"/>
    <x v="0"/>
    <n v="7"/>
    <n v="14"/>
    <n v="98"/>
    <x v="71"/>
    <x v="69"/>
    <x v="0"/>
    <x v="0"/>
    <x v="1"/>
    <x v="0"/>
    <x v="22"/>
    <n v="3"/>
    <n v="11"/>
    <x v="0"/>
  </r>
  <r>
    <s v="TX501955"/>
    <x v="16"/>
    <n v="4"/>
    <n v="77.3"/>
    <n v="309.2"/>
    <x v="71"/>
    <x v="72"/>
    <x v="1"/>
    <x v="4"/>
    <x v="2"/>
    <x v="0"/>
    <x v="3"/>
    <n v="2"/>
    <n v="11"/>
    <x v="1"/>
  </r>
  <r>
    <s v="TX501956"/>
    <x v="2"/>
    <n v="2"/>
    <n v="76.900000000000006"/>
    <n v="153.80000000000001"/>
    <x v="71"/>
    <x v="76"/>
    <x v="1"/>
    <x v="0"/>
    <x v="1"/>
    <x v="0"/>
    <x v="3"/>
    <n v="4"/>
    <n v="11"/>
    <x v="1"/>
  </r>
  <r>
    <s v="TX501957"/>
    <x v="1"/>
    <n v="1"/>
    <n v="48"/>
    <n v="48"/>
    <x v="71"/>
    <x v="72"/>
    <x v="1"/>
    <x v="1"/>
    <x v="2"/>
    <x v="0"/>
    <x v="3"/>
    <n v="2"/>
    <n v="11"/>
    <x v="1"/>
  </r>
  <r>
    <s v="TX501958"/>
    <x v="2"/>
    <n v="1"/>
    <n v="94.5"/>
    <n v="94.5"/>
    <x v="71"/>
    <x v="69"/>
    <x v="0"/>
    <x v="1"/>
    <x v="1"/>
    <x v="0"/>
    <x v="3"/>
    <n v="3"/>
    <n v="11"/>
    <x v="0"/>
  </r>
  <r>
    <s v="TX501959"/>
    <x v="10"/>
    <n v="3"/>
    <n v="58.4"/>
    <n v="175.2"/>
    <x v="71"/>
    <x v="72"/>
    <x v="1"/>
    <x v="1"/>
    <x v="2"/>
    <x v="0"/>
    <x v="3"/>
    <n v="2"/>
    <n v="11"/>
    <x v="1"/>
  </r>
  <r>
    <s v="TX501960"/>
    <x v="7"/>
    <n v="13"/>
    <n v="42.2"/>
    <n v="548.6"/>
    <x v="71"/>
    <x v="64"/>
    <x v="0"/>
    <x v="0"/>
    <x v="0"/>
    <x v="0"/>
    <x v="25"/>
    <n v="0"/>
    <n v="11"/>
    <x v="0"/>
  </r>
  <r>
    <s v="TX501961"/>
    <x v="6"/>
    <n v="2"/>
    <n v="152.19999999999999"/>
    <n v="304.39999999999998"/>
    <x v="71"/>
    <x v="67"/>
    <x v="0"/>
    <x v="4"/>
    <x v="1"/>
    <x v="0"/>
    <x v="25"/>
    <n v="1"/>
    <n v="11"/>
    <x v="0"/>
  </r>
  <r>
    <s v="TX501962"/>
    <x v="6"/>
    <n v="24"/>
    <n v="72"/>
    <n v="1728"/>
    <x v="71"/>
    <x v="67"/>
    <x v="0"/>
    <x v="0"/>
    <x v="1"/>
    <x v="0"/>
    <x v="6"/>
    <n v="1"/>
    <n v="11"/>
    <x v="0"/>
  </r>
  <r>
    <s v="TX501963"/>
    <x v="1"/>
    <n v="23"/>
    <n v="70.900000000000006"/>
    <n v="1630.7"/>
    <x v="71"/>
    <x v="67"/>
    <x v="1"/>
    <x v="2"/>
    <x v="0"/>
    <x v="0"/>
    <x v="8"/>
    <n v="1"/>
    <n v="11"/>
    <x v="1"/>
  </r>
  <r>
    <s v="TX501964"/>
    <x v="2"/>
    <n v="2"/>
    <n v="53.7"/>
    <n v="107.4"/>
    <x v="71"/>
    <x v="67"/>
    <x v="0"/>
    <x v="2"/>
    <x v="2"/>
    <x v="0"/>
    <x v="8"/>
    <n v="1"/>
    <n v="11"/>
    <x v="0"/>
  </r>
  <r>
    <s v="TX501965"/>
    <x v="9"/>
    <n v="4"/>
    <n v="42.9"/>
    <n v="171.6"/>
    <x v="71"/>
    <x v="67"/>
    <x v="1"/>
    <x v="2"/>
    <x v="4"/>
    <x v="0"/>
    <x v="9"/>
    <n v="1"/>
    <n v="11"/>
    <x v="1"/>
  </r>
  <r>
    <s v="TX501966"/>
    <x v="2"/>
    <n v="7"/>
    <n v="107.5"/>
    <n v="752.5"/>
    <x v="71"/>
    <x v="67"/>
    <x v="0"/>
    <x v="1"/>
    <x v="0"/>
    <x v="0"/>
    <x v="11"/>
    <n v="1"/>
    <n v="11"/>
    <x v="0"/>
  </r>
  <r>
    <s v="TX501967"/>
    <x v="17"/>
    <n v="16"/>
    <n v="21.5"/>
    <n v="344"/>
    <x v="71"/>
    <x v="67"/>
    <x v="0"/>
    <x v="1"/>
    <x v="1"/>
    <x v="0"/>
    <x v="32"/>
    <n v="1"/>
    <n v="11"/>
    <x v="0"/>
  </r>
  <r>
    <s v="TX501968"/>
    <x v="3"/>
    <n v="5"/>
    <n v="85.3"/>
    <n v="426.5"/>
    <x v="71"/>
    <x v="72"/>
    <x v="1"/>
    <x v="3"/>
    <x v="0"/>
    <x v="0"/>
    <x v="18"/>
    <n v="2"/>
    <n v="11"/>
    <x v="1"/>
  </r>
  <r>
    <s v="TX501969"/>
    <x v="7"/>
    <n v="5"/>
    <n v="80.8"/>
    <n v="404"/>
    <x v="71"/>
    <x v="75"/>
    <x v="3"/>
    <x v="1"/>
    <x v="1"/>
    <x v="0"/>
    <x v="19"/>
    <n v="8"/>
    <n v="11"/>
    <x v="3"/>
  </r>
  <r>
    <s v="TX501970"/>
    <x v="2"/>
    <n v="3"/>
    <n v="123.1"/>
    <n v="369.29999999999995"/>
    <x v="71"/>
    <x v="72"/>
    <x v="2"/>
    <x v="2"/>
    <x v="0"/>
    <x v="0"/>
    <x v="21"/>
    <n v="2"/>
    <n v="11"/>
    <x v="2"/>
  </r>
  <r>
    <s v="TX501971"/>
    <x v="8"/>
    <n v="2"/>
    <n v="36.9"/>
    <n v="73.8"/>
    <x v="71"/>
    <x v="72"/>
    <x v="1"/>
    <x v="2"/>
    <x v="4"/>
    <x v="0"/>
    <x v="51"/>
    <n v="2"/>
    <n v="11"/>
    <x v="1"/>
  </r>
  <r>
    <s v="TX501972"/>
    <x v="11"/>
    <n v="5"/>
    <n v="40"/>
    <n v="200"/>
    <x v="71"/>
    <x v="67"/>
    <x v="0"/>
    <x v="0"/>
    <x v="0"/>
    <x v="0"/>
    <x v="1"/>
    <n v="1"/>
    <n v="11"/>
    <x v="0"/>
  </r>
  <r>
    <s v="TX501973"/>
    <x v="6"/>
    <n v="3"/>
    <n v="55.5"/>
    <n v="166.5"/>
    <x v="71"/>
    <x v="67"/>
    <x v="0"/>
    <x v="4"/>
    <x v="2"/>
    <x v="0"/>
    <x v="1"/>
    <n v="1"/>
    <n v="11"/>
    <x v="0"/>
  </r>
  <r>
    <s v="TX501974"/>
    <x v="0"/>
    <n v="4"/>
    <n v="20.5"/>
    <n v="82"/>
    <x v="71"/>
    <x v="76"/>
    <x v="1"/>
    <x v="4"/>
    <x v="0"/>
    <x v="0"/>
    <x v="1"/>
    <n v="4"/>
    <n v="11"/>
    <x v="1"/>
  </r>
  <r>
    <s v="TX501975"/>
    <x v="18"/>
    <n v="4"/>
    <n v="50.1"/>
    <n v="200.4"/>
    <x v="71"/>
    <x v="67"/>
    <x v="1"/>
    <x v="4"/>
    <x v="0"/>
    <x v="0"/>
    <x v="1"/>
    <n v="1"/>
    <n v="11"/>
    <x v="1"/>
  </r>
  <r>
    <s v="TX501976"/>
    <x v="9"/>
    <n v="1"/>
    <n v="35.9"/>
    <n v="35.9"/>
    <x v="71"/>
    <x v="72"/>
    <x v="0"/>
    <x v="1"/>
    <x v="2"/>
    <x v="0"/>
    <x v="1"/>
    <n v="2"/>
    <n v="11"/>
    <x v="0"/>
  </r>
  <r>
    <s v="TX501977"/>
    <x v="13"/>
    <n v="4"/>
    <n v="29.4"/>
    <n v="117.6"/>
    <x v="72"/>
    <x v="72"/>
    <x v="0"/>
    <x v="2"/>
    <x v="2"/>
    <x v="0"/>
    <x v="33"/>
    <n v="1"/>
    <n v="11"/>
    <x v="0"/>
  </r>
  <r>
    <s v="TX501978"/>
    <x v="8"/>
    <n v="5"/>
    <n v="29.1"/>
    <n v="145.5"/>
    <x v="72"/>
    <x v="80"/>
    <x v="3"/>
    <x v="2"/>
    <x v="1"/>
    <x v="0"/>
    <x v="33"/>
    <n v="8"/>
    <n v="11"/>
    <x v="3"/>
  </r>
  <r>
    <s v="TX501979"/>
    <x v="8"/>
    <n v="3"/>
    <n v="33.5"/>
    <n v="100.5"/>
    <x v="72"/>
    <x v="81"/>
    <x v="0"/>
    <x v="0"/>
    <x v="2"/>
    <x v="0"/>
    <x v="22"/>
    <n v="12"/>
    <n v="11"/>
    <x v="0"/>
  </r>
  <r>
    <s v="TX501980"/>
    <x v="4"/>
    <n v="10"/>
    <n v="36"/>
    <n v="360"/>
    <x v="72"/>
    <x v="67"/>
    <x v="0"/>
    <x v="3"/>
    <x v="2"/>
    <x v="0"/>
    <x v="3"/>
    <n v="0"/>
    <n v="11"/>
    <x v="0"/>
  </r>
  <r>
    <s v="TX501981"/>
    <x v="16"/>
    <n v="3"/>
    <n v="57.3"/>
    <n v="171.89999999999998"/>
    <x v="72"/>
    <x v="73"/>
    <x v="1"/>
    <x v="0"/>
    <x v="2"/>
    <x v="0"/>
    <x v="3"/>
    <n v="4"/>
    <n v="11"/>
    <x v="1"/>
  </r>
  <r>
    <s v="TX501982"/>
    <x v="1"/>
    <n v="1"/>
    <n v="81.400000000000006"/>
    <n v="81.400000000000006"/>
    <x v="72"/>
    <x v="72"/>
    <x v="1"/>
    <x v="2"/>
    <x v="2"/>
    <x v="0"/>
    <x v="3"/>
    <n v="1"/>
    <n v="11"/>
    <x v="1"/>
  </r>
  <r>
    <s v="TX501983"/>
    <x v="10"/>
    <n v="2"/>
    <n v="35.299999999999997"/>
    <n v="70.599999999999994"/>
    <x v="72"/>
    <x v="73"/>
    <x v="0"/>
    <x v="0"/>
    <x v="2"/>
    <x v="0"/>
    <x v="3"/>
    <n v="4"/>
    <n v="11"/>
    <x v="0"/>
  </r>
  <r>
    <s v="TX501984"/>
    <x v="3"/>
    <n v="1"/>
    <n v="36.1"/>
    <n v="36.1"/>
    <x v="72"/>
    <x v="72"/>
    <x v="1"/>
    <x v="4"/>
    <x v="0"/>
    <x v="0"/>
    <x v="3"/>
    <n v="1"/>
    <n v="11"/>
    <x v="1"/>
  </r>
  <r>
    <s v="TX501985"/>
    <x v="1"/>
    <n v="2"/>
    <n v="36.700000000000003"/>
    <n v="73.400000000000006"/>
    <x v="72"/>
    <x v="69"/>
    <x v="1"/>
    <x v="0"/>
    <x v="2"/>
    <x v="0"/>
    <x v="3"/>
    <n v="2"/>
    <n v="11"/>
    <x v="1"/>
  </r>
  <r>
    <s v="TX501986"/>
    <x v="10"/>
    <n v="1"/>
    <n v="20.9"/>
    <n v="20.9"/>
    <x v="72"/>
    <x v="69"/>
    <x v="1"/>
    <x v="0"/>
    <x v="4"/>
    <x v="0"/>
    <x v="3"/>
    <n v="2"/>
    <n v="11"/>
    <x v="1"/>
  </r>
  <r>
    <s v="TX501987"/>
    <x v="12"/>
    <n v="3"/>
    <n v="58.8"/>
    <n v="176.39999999999998"/>
    <x v="72"/>
    <x v="73"/>
    <x v="0"/>
    <x v="0"/>
    <x v="2"/>
    <x v="0"/>
    <x v="25"/>
    <n v="4"/>
    <n v="11"/>
    <x v="0"/>
  </r>
  <r>
    <s v="TX501988"/>
    <x v="2"/>
    <n v="3"/>
    <n v="97.6"/>
    <n v="292.79999999999995"/>
    <x v="73"/>
    <x v="76"/>
    <x v="2"/>
    <x v="0"/>
    <x v="0"/>
    <x v="0"/>
    <x v="6"/>
    <n v="2"/>
    <n v="11"/>
    <x v="2"/>
  </r>
  <r>
    <s v="TX501989"/>
    <x v="1"/>
    <n v="2"/>
    <n v="58.7"/>
    <n v="117.4"/>
    <x v="73"/>
    <x v="73"/>
    <x v="1"/>
    <x v="0"/>
    <x v="1"/>
    <x v="0"/>
    <x v="6"/>
    <n v="3"/>
    <n v="11"/>
    <x v="1"/>
  </r>
  <r>
    <s v="TX501990"/>
    <x v="6"/>
    <n v="5"/>
    <n v="71.900000000000006"/>
    <n v="359.5"/>
    <x v="73"/>
    <x v="69"/>
    <x v="2"/>
    <x v="0"/>
    <x v="1"/>
    <x v="0"/>
    <x v="6"/>
    <n v="1"/>
    <n v="11"/>
    <x v="2"/>
  </r>
  <r>
    <s v="TX501991"/>
    <x v="1"/>
    <n v="2"/>
    <n v="62.4"/>
    <n v="124.8"/>
    <x v="73"/>
    <x v="76"/>
    <x v="2"/>
    <x v="0"/>
    <x v="1"/>
    <x v="0"/>
    <x v="8"/>
    <n v="2"/>
    <n v="11"/>
    <x v="2"/>
  </r>
  <r>
    <s v="TX501992"/>
    <x v="6"/>
    <n v="16"/>
    <n v="53.8"/>
    <n v="860.8"/>
    <x v="73"/>
    <x v="69"/>
    <x v="1"/>
    <x v="1"/>
    <x v="0"/>
    <x v="0"/>
    <x v="8"/>
    <n v="1"/>
    <n v="11"/>
    <x v="1"/>
  </r>
  <r>
    <s v="TX501993"/>
    <x v="9"/>
    <n v="1"/>
    <n v="43.8"/>
    <n v="43.8"/>
    <x v="73"/>
    <x v="80"/>
    <x v="1"/>
    <x v="0"/>
    <x v="2"/>
    <x v="0"/>
    <x v="8"/>
    <n v="7"/>
    <n v="11"/>
    <x v="1"/>
  </r>
  <r>
    <s v="TX501994"/>
    <x v="5"/>
    <n v="3"/>
    <n v="53.6"/>
    <n v="160.80000000000001"/>
    <x v="73"/>
    <x v="69"/>
    <x v="0"/>
    <x v="3"/>
    <x v="0"/>
    <x v="0"/>
    <x v="8"/>
    <n v="1"/>
    <n v="11"/>
    <x v="0"/>
  </r>
  <r>
    <s v="TX501995"/>
    <x v="12"/>
    <n v="2"/>
    <n v="84.3"/>
    <n v="168.6"/>
    <x v="73"/>
    <x v="73"/>
    <x v="0"/>
    <x v="4"/>
    <x v="1"/>
    <x v="0"/>
    <x v="8"/>
    <n v="3"/>
    <n v="11"/>
    <x v="0"/>
  </r>
  <r>
    <s v="TX501996"/>
    <x v="6"/>
    <n v="9"/>
    <n v="117.9"/>
    <n v="1061.1000000000001"/>
    <x v="73"/>
    <x v="69"/>
    <x v="1"/>
    <x v="1"/>
    <x v="2"/>
    <x v="0"/>
    <x v="8"/>
    <n v="1"/>
    <n v="11"/>
    <x v="1"/>
  </r>
  <r>
    <s v="TX501997"/>
    <x v="4"/>
    <n v="8"/>
    <n v="30"/>
    <n v="240"/>
    <x v="73"/>
    <x v="69"/>
    <x v="1"/>
    <x v="1"/>
    <x v="0"/>
    <x v="0"/>
    <x v="26"/>
    <n v="1"/>
    <n v="11"/>
    <x v="1"/>
  </r>
  <r>
    <s v="TX501998"/>
    <x v="14"/>
    <n v="3"/>
    <n v="37.299999999999997"/>
    <n v="111.89999999999999"/>
    <x v="73"/>
    <x v="69"/>
    <x v="0"/>
    <x v="2"/>
    <x v="0"/>
    <x v="0"/>
    <x v="9"/>
    <n v="1"/>
    <n v="11"/>
    <x v="0"/>
  </r>
  <r>
    <s v="TX501999"/>
    <x v="4"/>
    <n v="9"/>
    <n v="25.1"/>
    <n v="225.9"/>
    <x v="73"/>
    <x v="76"/>
    <x v="0"/>
    <x v="1"/>
    <x v="2"/>
    <x v="0"/>
    <x v="11"/>
    <n v="2"/>
    <n v="11"/>
    <x v="0"/>
  </r>
  <r>
    <s v="TX502000"/>
    <x v="8"/>
    <n v="11"/>
    <n v="36"/>
    <n v="396"/>
    <x v="73"/>
    <x v="82"/>
    <x v="0"/>
    <x v="1"/>
    <x v="0"/>
    <x v="0"/>
    <x v="18"/>
    <n v="10"/>
    <n v="11"/>
    <x v="0"/>
  </r>
  <r>
    <s v="TX502001"/>
    <x v="16"/>
    <n v="3"/>
    <n v="48.5"/>
    <n v="145.5"/>
    <x v="73"/>
    <x v="83"/>
    <x v="1"/>
    <x v="1"/>
    <x v="0"/>
    <x v="0"/>
    <x v="19"/>
    <n v="4"/>
    <n v="11"/>
    <x v="1"/>
  </r>
  <r>
    <s v="TX502002"/>
    <x v="17"/>
    <n v="6"/>
    <n v="21.1"/>
    <n v="126.60000000000001"/>
    <x v="73"/>
    <x v="69"/>
    <x v="0"/>
    <x v="1"/>
    <x v="2"/>
    <x v="0"/>
    <x v="21"/>
    <n v="1"/>
    <n v="11"/>
    <x v="0"/>
  </r>
  <r>
    <s v="TX502003"/>
    <x v="15"/>
    <n v="14"/>
    <n v="43.2"/>
    <n v="604.80000000000007"/>
    <x v="73"/>
    <x v="69"/>
    <x v="3"/>
    <x v="0"/>
    <x v="1"/>
    <x v="0"/>
    <x v="21"/>
    <n v="1"/>
    <n v="11"/>
    <x v="3"/>
  </r>
  <r>
    <s v="TX502004"/>
    <x v="9"/>
    <n v="2"/>
    <n v="21.1"/>
    <n v="42.2"/>
    <x v="73"/>
    <x v="69"/>
    <x v="2"/>
    <x v="3"/>
    <x v="1"/>
    <x v="0"/>
    <x v="21"/>
    <n v="1"/>
    <n v="11"/>
    <x v="2"/>
  </r>
  <r>
    <s v="TX502005"/>
    <x v="6"/>
    <n v="4"/>
    <n v="41.3"/>
    <n v="165.2"/>
    <x v="73"/>
    <x v="76"/>
    <x v="1"/>
    <x v="3"/>
    <x v="2"/>
    <x v="0"/>
    <x v="1"/>
    <n v="2"/>
    <n v="11"/>
    <x v="1"/>
  </r>
  <r>
    <s v="TX502006"/>
    <x v="8"/>
    <n v="2"/>
    <n v="15.3"/>
    <n v="30.6"/>
    <x v="73"/>
    <x v="73"/>
    <x v="2"/>
    <x v="2"/>
    <x v="2"/>
    <x v="0"/>
    <x v="1"/>
    <n v="3"/>
    <n v="11"/>
    <x v="2"/>
  </r>
  <r>
    <s v="TX502007"/>
    <x v="1"/>
    <n v="1"/>
    <n v="54.6"/>
    <n v="54.6"/>
    <x v="73"/>
    <x v="76"/>
    <x v="0"/>
    <x v="1"/>
    <x v="1"/>
    <x v="0"/>
    <x v="2"/>
    <n v="2"/>
    <n v="11"/>
    <x v="0"/>
  </r>
  <r>
    <s v="TX502008"/>
    <x v="8"/>
    <n v="1"/>
    <n v="15.9"/>
    <n v="15.9"/>
    <x v="73"/>
    <x v="69"/>
    <x v="0"/>
    <x v="0"/>
    <x v="1"/>
    <x v="0"/>
    <x v="22"/>
    <n v="1"/>
    <n v="11"/>
    <x v="0"/>
  </r>
  <r>
    <s v="TX502009"/>
    <x v="9"/>
    <n v="1"/>
    <n v="50.2"/>
    <n v="50.2"/>
    <x v="73"/>
    <x v="76"/>
    <x v="1"/>
    <x v="3"/>
    <x v="2"/>
    <x v="0"/>
    <x v="34"/>
    <n v="2"/>
    <n v="11"/>
    <x v="1"/>
  </r>
  <r>
    <s v="TX502010"/>
    <x v="11"/>
    <n v="4"/>
    <n v="85.1"/>
    <n v="340.4"/>
    <x v="73"/>
    <x v="69"/>
    <x v="1"/>
    <x v="3"/>
    <x v="4"/>
    <x v="0"/>
    <x v="34"/>
    <n v="1"/>
    <n v="11"/>
    <x v="1"/>
  </r>
  <r>
    <s v="TX502011"/>
    <x v="11"/>
    <n v="2"/>
    <n v="41.4"/>
    <n v="82.8"/>
    <x v="73"/>
    <x v="69"/>
    <x v="1"/>
    <x v="0"/>
    <x v="2"/>
    <x v="0"/>
    <x v="3"/>
    <n v="1"/>
    <n v="11"/>
    <x v="1"/>
  </r>
  <r>
    <s v="TX502012"/>
    <x v="4"/>
    <n v="7"/>
    <n v="32.700000000000003"/>
    <n v="228.90000000000003"/>
    <x v="73"/>
    <x v="69"/>
    <x v="1"/>
    <x v="2"/>
    <x v="1"/>
    <x v="0"/>
    <x v="3"/>
    <n v="1"/>
    <n v="11"/>
    <x v="1"/>
  </r>
  <r>
    <s v="TX502013"/>
    <x v="4"/>
    <n v="2"/>
    <n v="41.6"/>
    <n v="83.2"/>
    <x v="73"/>
    <x v="76"/>
    <x v="0"/>
    <x v="4"/>
    <x v="1"/>
    <x v="0"/>
    <x v="3"/>
    <n v="2"/>
    <n v="11"/>
    <x v="0"/>
  </r>
  <r>
    <s v="TX502014"/>
    <x v="5"/>
    <n v="4"/>
    <n v="64.8"/>
    <n v="259.2"/>
    <x v="73"/>
    <x v="69"/>
    <x v="2"/>
    <x v="2"/>
    <x v="0"/>
    <x v="0"/>
    <x v="3"/>
    <n v="1"/>
    <n v="11"/>
    <x v="2"/>
  </r>
  <r>
    <s v="TX502015"/>
    <x v="15"/>
    <n v="2"/>
    <n v="33.6"/>
    <n v="67.2"/>
    <x v="73"/>
    <x v="69"/>
    <x v="0"/>
    <x v="0"/>
    <x v="2"/>
    <x v="0"/>
    <x v="3"/>
    <n v="1"/>
    <n v="11"/>
    <x v="0"/>
  </r>
  <r>
    <s v="TX502016"/>
    <x v="6"/>
    <n v="3"/>
    <n v="100.7"/>
    <n v="302.10000000000002"/>
    <x v="73"/>
    <x v="69"/>
    <x v="2"/>
    <x v="1"/>
    <x v="0"/>
    <x v="0"/>
    <x v="3"/>
    <n v="1"/>
    <n v="11"/>
    <x v="2"/>
  </r>
  <r>
    <s v="TX502017"/>
    <x v="4"/>
    <n v="2"/>
    <n v="49.3"/>
    <n v="98.6"/>
    <x v="74"/>
    <x v="73"/>
    <x v="1"/>
    <x v="4"/>
    <x v="2"/>
    <x v="0"/>
    <x v="3"/>
    <n v="2"/>
    <n v="12"/>
    <x v="1"/>
  </r>
  <r>
    <s v="TX502018"/>
    <x v="2"/>
    <n v="6"/>
    <n v="97"/>
    <n v="582"/>
    <x v="74"/>
    <x v="83"/>
    <x v="0"/>
    <x v="2"/>
    <x v="2"/>
    <x v="0"/>
    <x v="3"/>
    <n v="3"/>
    <n v="12"/>
    <x v="0"/>
  </r>
  <r>
    <s v="TX502019"/>
    <x v="0"/>
    <n v="6"/>
    <n v="25.2"/>
    <n v="151.19999999999999"/>
    <x v="74"/>
    <x v="83"/>
    <x v="1"/>
    <x v="4"/>
    <x v="2"/>
    <x v="0"/>
    <x v="3"/>
    <n v="3"/>
    <n v="12"/>
    <x v="1"/>
  </r>
  <r>
    <s v="TX502020"/>
    <x v="0"/>
    <n v="11"/>
    <n v="12.2"/>
    <n v="134.19999999999999"/>
    <x v="74"/>
    <x v="76"/>
    <x v="2"/>
    <x v="0"/>
    <x v="1"/>
    <x v="0"/>
    <x v="3"/>
    <n v="1"/>
    <n v="12"/>
    <x v="2"/>
  </r>
  <r>
    <s v="TX502021"/>
    <x v="8"/>
    <n v="7"/>
    <n v="38.799999999999997"/>
    <n v="271.59999999999997"/>
    <x v="74"/>
    <x v="73"/>
    <x v="1"/>
    <x v="1"/>
    <x v="1"/>
    <x v="0"/>
    <x v="23"/>
    <n v="2"/>
    <n v="12"/>
    <x v="1"/>
  </r>
  <r>
    <s v="TX502022"/>
    <x v="2"/>
    <n v="4"/>
    <n v="53.2"/>
    <n v="212.8"/>
    <x v="74"/>
    <x v="76"/>
    <x v="0"/>
    <x v="0"/>
    <x v="2"/>
    <x v="0"/>
    <x v="8"/>
    <n v="1"/>
    <n v="12"/>
    <x v="0"/>
  </r>
  <r>
    <s v="TX502023"/>
    <x v="6"/>
    <n v="7"/>
    <n v="151"/>
    <n v="1057"/>
    <x v="74"/>
    <x v="76"/>
    <x v="3"/>
    <x v="1"/>
    <x v="1"/>
    <x v="0"/>
    <x v="8"/>
    <n v="1"/>
    <n v="12"/>
    <x v="3"/>
  </r>
  <r>
    <s v="TX502024"/>
    <x v="1"/>
    <n v="2"/>
    <n v="37.1"/>
    <n v="74.2"/>
    <x v="74"/>
    <x v="76"/>
    <x v="1"/>
    <x v="4"/>
    <x v="0"/>
    <x v="0"/>
    <x v="8"/>
    <n v="1"/>
    <n v="12"/>
    <x v="1"/>
  </r>
  <r>
    <s v="TX502025"/>
    <x v="5"/>
    <n v="2"/>
    <n v="38.9"/>
    <n v="77.8"/>
    <x v="74"/>
    <x v="76"/>
    <x v="0"/>
    <x v="4"/>
    <x v="0"/>
    <x v="0"/>
    <x v="8"/>
    <n v="1"/>
    <n v="12"/>
    <x v="0"/>
  </r>
  <r>
    <s v="TX502026"/>
    <x v="10"/>
    <n v="2"/>
    <n v="35.200000000000003"/>
    <n v="70.400000000000006"/>
    <x v="74"/>
    <x v="76"/>
    <x v="0"/>
    <x v="0"/>
    <x v="2"/>
    <x v="0"/>
    <x v="17"/>
    <n v="1"/>
    <n v="12"/>
    <x v="0"/>
  </r>
  <r>
    <s v="TX502027"/>
    <x v="0"/>
    <n v="2"/>
    <n v="22.3"/>
    <n v="44.6"/>
    <x v="74"/>
    <x v="73"/>
    <x v="1"/>
    <x v="1"/>
    <x v="0"/>
    <x v="0"/>
    <x v="9"/>
    <n v="2"/>
    <n v="12"/>
    <x v="1"/>
  </r>
  <r>
    <s v="TX502028"/>
    <x v="9"/>
    <n v="1"/>
    <n v="43.3"/>
    <n v="43.3"/>
    <x v="74"/>
    <x v="83"/>
    <x v="1"/>
    <x v="0"/>
    <x v="2"/>
    <x v="0"/>
    <x v="11"/>
    <n v="3"/>
    <n v="12"/>
    <x v="1"/>
  </r>
  <r>
    <s v="TX502029"/>
    <x v="6"/>
    <n v="6"/>
    <n v="75.900000000000006"/>
    <n v="455.40000000000003"/>
    <x v="74"/>
    <x v="80"/>
    <x v="0"/>
    <x v="0"/>
    <x v="0"/>
    <x v="0"/>
    <x v="11"/>
    <n v="6"/>
    <n v="12"/>
    <x v="0"/>
  </r>
  <r>
    <s v="TX502030"/>
    <x v="6"/>
    <n v="3"/>
    <n v="78.7"/>
    <n v="236.10000000000002"/>
    <x v="74"/>
    <x v="78"/>
    <x v="1"/>
    <x v="2"/>
    <x v="1"/>
    <x v="0"/>
    <x v="11"/>
    <n v="4"/>
    <n v="12"/>
    <x v="1"/>
  </r>
  <r>
    <s v="TX502031"/>
    <x v="1"/>
    <n v="1"/>
    <n v="66.3"/>
    <n v="66.3"/>
    <x v="74"/>
    <x v="78"/>
    <x v="1"/>
    <x v="0"/>
    <x v="2"/>
    <x v="0"/>
    <x v="19"/>
    <n v="4"/>
    <n v="12"/>
    <x v="1"/>
  </r>
  <r>
    <s v="TX502032"/>
    <x v="8"/>
    <n v="2"/>
    <n v="33.6"/>
    <n v="67.2"/>
    <x v="74"/>
    <x v="69"/>
    <x v="0"/>
    <x v="0"/>
    <x v="1"/>
    <x v="0"/>
    <x v="19"/>
    <n v="0"/>
    <n v="12"/>
    <x v="0"/>
  </r>
  <r>
    <s v="TX502033"/>
    <x v="2"/>
    <n v="7"/>
    <n v="61.4"/>
    <n v="429.8"/>
    <x v="74"/>
    <x v="76"/>
    <x v="0"/>
    <x v="4"/>
    <x v="0"/>
    <x v="0"/>
    <x v="19"/>
    <n v="1"/>
    <n v="12"/>
    <x v="0"/>
  </r>
  <r>
    <s v="TX502034"/>
    <x v="8"/>
    <n v="2"/>
    <n v="17.5"/>
    <n v="35"/>
    <x v="74"/>
    <x v="83"/>
    <x v="1"/>
    <x v="0"/>
    <x v="0"/>
    <x v="0"/>
    <x v="21"/>
    <n v="3"/>
    <n v="12"/>
    <x v="1"/>
  </r>
  <r>
    <s v="TX502035"/>
    <x v="8"/>
    <n v="2"/>
    <n v="32.5"/>
    <n v="65"/>
    <x v="74"/>
    <x v="83"/>
    <x v="1"/>
    <x v="1"/>
    <x v="0"/>
    <x v="0"/>
    <x v="21"/>
    <n v="3"/>
    <n v="12"/>
    <x v="1"/>
  </r>
  <r>
    <s v="TX502036"/>
    <x v="4"/>
    <n v="1"/>
    <n v="34.6"/>
    <n v="34.6"/>
    <x v="74"/>
    <x v="76"/>
    <x v="1"/>
    <x v="4"/>
    <x v="0"/>
    <x v="0"/>
    <x v="21"/>
    <n v="1"/>
    <n v="12"/>
    <x v="1"/>
  </r>
  <r>
    <s v="TX502037"/>
    <x v="2"/>
    <n v="1"/>
    <n v="75.900000000000006"/>
    <n v="75.900000000000006"/>
    <x v="74"/>
    <x v="69"/>
    <x v="0"/>
    <x v="1"/>
    <x v="2"/>
    <x v="0"/>
    <x v="21"/>
    <n v="0"/>
    <n v="12"/>
    <x v="0"/>
  </r>
  <r>
    <s v="TX502038"/>
    <x v="1"/>
    <n v="3"/>
    <n v="42.1"/>
    <n v="126.30000000000001"/>
    <x v="74"/>
    <x v="83"/>
    <x v="0"/>
    <x v="1"/>
    <x v="1"/>
    <x v="0"/>
    <x v="21"/>
    <n v="3"/>
    <n v="12"/>
    <x v="0"/>
  </r>
  <r>
    <s v="TX502039"/>
    <x v="7"/>
    <n v="3"/>
    <n v="65.3"/>
    <n v="195.89999999999998"/>
    <x v="74"/>
    <x v="79"/>
    <x v="0"/>
    <x v="0"/>
    <x v="0"/>
    <x v="0"/>
    <x v="1"/>
    <n v="7"/>
    <n v="12"/>
    <x v="0"/>
  </r>
  <r>
    <s v="TX502040"/>
    <x v="15"/>
    <n v="1"/>
    <n v="20.6"/>
    <n v="20.6"/>
    <x v="74"/>
    <x v="83"/>
    <x v="0"/>
    <x v="3"/>
    <x v="0"/>
    <x v="0"/>
    <x v="42"/>
    <n v="3"/>
    <n v="12"/>
    <x v="0"/>
  </r>
  <r>
    <s v="TX502041"/>
    <x v="8"/>
    <n v="7"/>
    <n v="16.5"/>
    <n v="115.5"/>
    <x v="74"/>
    <x v="76"/>
    <x v="0"/>
    <x v="1"/>
    <x v="1"/>
    <x v="0"/>
    <x v="2"/>
    <n v="1"/>
    <n v="12"/>
    <x v="0"/>
  </r>
  <r>
    <s v="TX502042"/>
    <x v="16"/>
    <n v="10"/>
    <n v="36.200000000000003"/>
    <n v="362"/>
    <x v="74"/>
    <x v="73"/>
    <x v="0"/>
    <x v="0"/>
    <x v="2"/>
    <x v="0"/>
    <x v="2"/>
    <n v="2"/>
    <n v="12"/>
    <x v="0"/>
  </r>
  <r>
    <s v="TX502043"/>
    <x v="6"/>
    <n v="1"/>
    <n v="53.2"/>
    <n v="53.2"/>
    <x v="74"/>
    <x v="76"/>
    <x v="1"/>
    <x v="0"/>
    <x v="1"/>
    <x v="0"/>
    <x v="22"/>
    <n v="1"/>
    <n v="12"/>
    <x v="1"/>
  </r>
  <r>
    <s v="TX502044"/>
    <x v="2"/>
    <n v="14"/>
    <n v="176"/>
    <n v="2464"/>
    <x v="74"/>
    <x v="76"/>
    <x v="1"/>
    <x v="0"/>
    <x v="1"/>
    <x v="0"/>
    <x v="3"/>
    <n v="1"/>
    <n v="12"/>
    <x v="1"/>
  </r>
  <r>
    <s v="TX502045"/>
    <x v="1"/>
    <n v="1"/>
    <n v="52.4"/>
    <n v="52.4"/>
    <x v="74"/>
    <x v="76"/>
    <x v="0"/>
    <x v="1"/>
    <x v="0"/>
    <x v="0"/>
    <x v="3"/>
    <n v="1"/>
    <n v="12"/>
    <x v="0"/>
  </r>
  <r>
    <s v="TX502046"/>
    <x v="10"/>
    <n v="3"/>
    <n v="48.2"/>
    <n v="144.60000000000002"/>
    <x v="74"/>
    <x v="76"/>
    <x v="1"/>
    <x v="1"/>
    <x v="2"/>
    <x v="0"/>
    <x v="3"/>
    <n v="1"/>
    <n v="12"/>
    <x v="1"/>
  </r>
  <r>
    <s v="TX502047"/>
    <x v="15"/>
    <n v="1"/>
    <n v="51.6"/>
    <n v="51.6"/>
    <x v="74"/>
    <x v="78"/>
    <x v="1"/>
    <x v="2"/>
    <x v="1"/>
    <x v="0"/>
    <x v="3"/>
    <n v="4"/>
    <n v="12"/>
    <x v="1"/>
  </r>
  <r>
    <s v="TX502048"/>
    <x v="0"/>
    <n v="4"/>
    <n v="33.700000000000003"/>
    <n v="134.80000000000001"/>
    <x v="75"/>
    <x v="73"/>
    <x v="0"/>
    <x v="0"/>
    <x v="0"/>
    <x v="0"/>
    <x v="3"/>
    <n v="1"/>
    <n v="12"/>
    <x v="0"/>
  </r>
  <r>
    <s v="TX502049"/>
    <x v="4"/>
    <n v="10"/>
    <n v="36.299999999999997"/>
    <n v="363"/>
    <x v="75"/>
    <x v="83"/>
    <x v="1"/>
    <x v="4"/>
    <x v="1"/>
    <x v="0"/>
    <x v="3"/>
    <n v="2"/>
    <n v="12"/>
    <x v="1"/>
  </r>
  <r>
    <s v="TX502050"/>
    <x v="8"/>
    <n v="1"/>
    <n v="23.4"/>
    <n v="23.4"/>
    <x v="75"/>
    <x v="80"/>
    <x v="1"/>
    <x v="1"/>
    <x v="2"/>
    <x v="0"/>
    <x v="3"/>
    <n v="5"/>
    <n v="12"/>
    <x v="1"/>
  </r>
  <r>
    <s v="TX502051"/>
    <x v="15"/>
    <n v="8"/>
    <n v="56.6"/>
    <n v="452.8"/>
    <x v="75"/>
    <x v="83"/>
    <x v="1"/>
    <x v="1"/>
    <x v="0"/>
    <x v="0"/>
    <x v="3"/>
    <n v="2"/>
    <n v="12"/>
    <x v="1"/>
  </r>
  <r>
    <s v="TX502052"/>
    <x v="15"/>
    <n v="2"/>
    <n v="26.8"/>
    <n v="53.6"/>
    <x v="75"/>
    <x v="73"/>
    <x v="0"/>
    <x v="0"/>
    <x v="0"/>
    <x v="0"/>
    <x v="4"/>
    <n v="1"/>
    <n v="12"/>
    <x v="0"/>
  </r>
  <r>
    <s v="TX502053"/>
    <x v="0"/>
    <n v="3"/>
    <n v="11.3"/>
    <n v="33.900000000000006"/>
    <x v="75"/>
    <x v="83"/>
    <x v="0"/>
    <x v="2"/>
    <x v="0"/>
    <x v="0"/>
    <x v="25"/>
    <n v="2"/>
    <n v="12"/>
    <x v="0"/>
  </r>
  <r>
    <s v="TX502054"/>
    <x v="6"/>
    <n v="3"/>
    <n v="60.1"/>
    <n v="180.3"/>
    <x v="75"/>
    <x v="78"/>
    <x v="1"/>
    <x v="0"/>
    <x v="0"/>
    <x v="0"/>
    <x v="7"/>
    <n v="3"/>
    <n v="12"/>
    <x v="1"/>
  </r>
  <r>
    <s v="TX502055"/>
    <x v="0"/>
    <n v="11"/>
    <n v="27.7"/>
    <n v="304.7"/>
    <x v="75"/>
    <x v="80"/>
    <x v="1"/>
    <x v="0"/>
    <x v="0"/>
    <x v="0"/>
    <x v="8"/>
    <n v="5"/>
    <n v="12"/>
    <x v="1"/>
  </r>
  <r>
    <s v="TX502056"/>
    <x v="15"/>
    <n v="1"/>
    <n v="71.400000000000006"/>
    <n v="71.400000000000006"/>
    <x v="75"/>
    <x v="78"/>
    <x v="0"/>
    <x v="0"/>
    <x v="2"/>
    <x v="0"/>
    <x v="8"/>
    <n v="3"/>
    <n v="12"/>
    <x v="0"/>
  </r>
  <r>
    <s v="TX502057"/>
    <x v="2"/>
    <n v="2"/>
    <n v="66.7"/>
    <n v="133.4"/>
    <x v="75"/>
    <x v="73"/>
    <x v="1"/>
    <x v="0"/>
    <x v="2"/>
    <x v="0"/>
    <x v="8"/>
    <n v="1"/>
    <n v="12"/>
    <x v="1"/>
  </r>
  <r>
    <s v="TX502058"/>
    <x v="13"/>
    <n v="5"/>
    <n v="39.1"/>
    <n v="195.5"/>
    <x v="75"/>
    <x v="73"/>
    <x v="1"/>
    <x v="0"/>
    <x v="0"/>
    <x v="0"/>
    <x v="8"/>
    <n v="1"/>
    <n v="12"/>
    <x v="1"/>
  </r>
  <r>
    <s v="TX502059"/>
    <x v="8"/>
    <n v="4"/>
    <n v="24.9"/>
    <n v="99.6"/>
    <x v="75"/>
    <x v="80"/>
    <x v="0"/>
    <x v="1"/>
    <x v="2"/>
    <x v="0"/>
    <x v="8"/>
    <n v="5"/>
    <n v="12"/>
    <x v="0"/>
  </r>
  <r>
    <s v="TX502060"/>
    <x v="5"/>
    <n v="5"/>
    <n v="29.2"/>
    <n v="146"/>
    <x v="75"/>
    <x v="73"/>
    <x v="0"/>
    <x v="0"/>
    <x v="2"/>
    <x v="0"/>
    <x v="17"/>
    <n v="1"/>
    <n v="12"/>
    <x v="0"/>
  </r>
  <r>
    <s v="TX502061"/>
    <x v="13"/>
    <n v="14"/>
    <n v="28.3"/>
    <n v="396.2"/>
    <x v="75"/>
    <x v="83"/>
    <x v="1"/>
    <x v="1"/>
    <x v="0"/>
    <x v="0"/>
    <x v="11"/>
    <n v="2"/>
    <n v="12"/>
    <x v="1"/>
  </r>
  <r>
    <s v="TX502062"/>
    <x v="9"/>
    <n v="3"/>
    <n v="37.799999999999997"/>
    <n v="113.39999999999999"/>
    <x v="75"/>
    <x v="73"/>
    <x v="1"/>
    <x v="0"/>
    <x v="1"/>
    <x v="0"/>
    <x v="11"/>
    <n v="1"/>
    <n v="12"/>
    <x v="1"/>
  </r>
  <r>
    <s v="TX502063"/>
    <x v="14"/>
    <n v="7"/>
    <n v="28.1"/>
    <n v="196.70000000000002"/>
    <x v="75"/>
    <x v="79"/>
    <x v="1"/>
    <x v="2"/>
    <x v="0"/>
    <x v="0"/>
    <x v="11"/>
    <n v="6"/>
    <n v="12"/>
    <x v="1"/>
  </r>
  <r>
    <s v="TX502064"/>
    <x v="1"/>
    <n v="3"/>
    <n v="59.7"/>
    <n v="179.10000000000002"/>
    <x v="75"/>
    <x v="83"/>
    <x v="1"/>
    <x v="2"/>
    <x v="0"/>
    <x v="0"/>
    <x v="11"/>
    <n v="2"/>
    <n v="12"/>
    <x v="1"/>
  </r>
  <r>
    <s v="TX502065"/>
    <x v="16"/>
    <n v="1"/>
    <n v="71.900000000000006"/>
    <n v="71.900000000000006"/>
    <x v="75"/>
    <x v="73"/>
    <x v="0"/>
    <x v="1"/>
    <x v="1"/>
    <x v="0"/>
    <x v="11"/>
    <n v="1"/>
    <n v="12"/>
    <x v="0"/>
  </r>
  <r>
    <s v="TX502066"/>
    <x v="1"/>
    <n v="2"/>
    <n v="56.9"/>
    <n v="113.8"/>
    <x v="75"/>
    <x v="73"/>
    <x v="0"/>
    <x v="2"/>
    <x v="0"/>
    <x v="0"/>
    <x v="13"/>
    <n v="1"/>
    <n v="12"/>
    <x v="0"/>
  </r>
  <r>
    <s v="TX502067"/>
    <x v="8"/>
    <n v="2"/>
    <n v="15.8"/>
    <n v="31.6"/>
    <x v="75"/>
    <x v="78"/>
    <x v="1"/>
    <x v="2"/>
    <x v="1"/>
    <x v="0"/>
    <x v="1"/>
    <n v="3"/>
    <n v="12"/>
    <x v="1"/>
  </r>
  <r>
    <s v="TX502068"/>
    <x v="11"/>
    <n v="4"/>
    <n v="61.7"/>
    <n v="246.8"/>
    <x v="75"/>
    <x v="83"/>
    <x v="1"/>
    <x v="2"/>
    <x v="0"/>
    <x v="0"/>
    <x v="22"/>
    <n v="2"/>
    <n v="12"/>
    <x v="1"/>
  </r>
  <r>
    <s v="TX502069"/>
    <x v="2"/>
    <n v="10"/>
    <n v="105.2"/>
    <n v="1052"/>
    <x v="75"/>
    <x v="83"/>
    <x v="0"/>
    <x v="1"/>
    <x v="4"/>
    <x v="0"/>
    <x v="3"/>
    <n v="2"/>
    <n v="12"/>
    <x v="0"/>
  </r>
  <r>
    <s v="TX502070"/>
    <x v="0"/>
    <n v="2"/>
    <n v="17"/>
    <n v="34"/>
    <x v="75"/>
    <x v="83"/>
    <x v="1"/>
    <x v="2"/>
    <x v="0"/>
    <x v="0"/>
    <x v="3"/>
    <n v="2"/>
    <n v="12"/>
    <x v="1"/>
  </r>
  <r>
    <s v="TX502071"/>
    <x v="6"/>
    <n v="3"/>
    <n v="84.1"/>
    <n v="252.29999999999998"/>
    <x v="75"/>
    <x v="73"/>
    <x v="0"/>
    <x v="2"/>
    <x v="0"/>
    <x v="0"/>
    <x v="3"/>
    <n v="1"/>
    <n v="12"/>
    <x v="0"/>
  </r>
  <r>
    <s v="TX502072"/>
    <x v="3"/>
    <n v="4"/>
    <n v="59.5"/>
    <n v="238"/>
    <x v="75"/>
    <x v="80"/>
    <x v="0"/>
    <x v="0"/>
    <x v="2"/>
    <x v="0"/>
    <x v="3"/>
    <n v="5"/>
    <n v="12"/>
    <x v="0"/>
  </r>
  <r>
    <s v="TX502073"/>
    <x v="8"/>
    <n v="2"/>
    <n v="57.5"/>
    <n v="115"/>
    <x v="75"/>
    <x v="83"/>
    <x v="0"/>
    <x v="1"/>
    <x v="2"/>
    <x v="0"/>
    <x v="3"/>
    <n v="2"/>
    <n v="12"/>
    <x v="0"/>
  </r>
  <r>
    <s v="TX502074"/>
    <x v="8"/>
    <n v="1"/>
    <n v="34.299999999999997"/>
    <n v="34.299999999999997"/>
    <x v="75"/>
    <x v="73"/>
    <x v="1"/>
    <x v="4"/>
    <x v="2"/>
    <x v="0"/>
    <x v="3"/>
    <n v="1"/>
    <n v="12"/>
    <x v="1"/>
  </r>
  <r>
    <s v="TX502075"/>
    <x v="5"/>
    <n v="2"/>
    <n v="27.8"/>
    <n v="55.6"/>
    <x v="76"/>
    <x v="78"/>
    <x v="1"/>
    <x v="0"/>
    <x v="0"/>
    <x v="0"/>
    <x v="3"/>
    <n v="2"/>
    <n v="12"/>
    <x v="1"/>
  </r>
  <r>
    <s v="TX502076"/>
    <x v="12"/>
    <n v="2"/>
    <n v="85"/>
    <n v="170"/>
    <x v="76"/>
    <x v="73"/>
    <x v="0"/>
    <x v="2"/>
    <x v="2"/>
    <x v="0"/>
    <x v="3"/>
    <n v="0"/>
    <n v="12"/>
    <x v="0"/>
  </r>
  <r>
    <s v="TX502077"/>
    <x v="6"/>
    <n v="2"/>
    <n v="95"/>
    <n v="190"/>
    <x v="76"/>
    <x v="78"/>
    <x v="1"/>
    <x v="0"/>
    <x v="0"/>
    <x v="0"/>
    <x v="3"/>
    <n v="2"/>
    <n v="12"/>
    <x v="1"/>
  </r>
  <r>
    <s v="TX502078"/>
    <x v="16"/>
    <n v="2"/>
    <n v="32"/>
    <n v="64"/>
    <x v="76"/>
    <x v="78"/>
    <x v="0"/>
    <x v="0"/>
    <x v="1"/>
    <x v="0"/>
    <x v="3"/>
    <n v="2"/>
    <n v="12"/>
    <x v="0"/>
  </r>
  <r>
    <s v="TX502079"/>
    <x v="2"/>
    <n v="2"/>
    <n v="65.2"/>
    <n v="130.4"/>
    <x v="76"/>
    <x v="83"/>
    <x v="1"/>
    <x v="1"/>
    <x v="0"/>
    <x v="0"/>
    <x v="3"/>
    <n v="1"/>
    <n v="12"/>
    <x v="1"/>
  </r>
  <r>
    <s v="TX502080"/>
    <x v="17"/>
    <n v="4"/>
    <n v="22"/>
    <n v="88"/>
    <x v="76"/>
    <x v="83"/>
    <x v="0"/>
    <x v="1"/>
    <x v="2"/>
    <x v="0"/>
    <x v="3"/>
    <n v="1"/>
    <n v="12"/>
    <x v="0"/>
  </r>
  <r>
    <s v="TX502081"/>
    <x v="15"/>
    <n v="3"/>
    <n v="69.400000000000006"/>
    <n v="208.20000000000002"/>
    <x v="76"/>
    <x v="75"/>
    <x v="0"/>
    <x v="1"/>
    <x v="2"/>
    <x v="0"/>
    <x v="3"/>
    <n v="3"/>
    <n v="12"/>
    <x v="0"/>
  </r>
  <r>
    <s v="TX502082"/>
    <x v="10"/>
    <n v="6"/>
    <n v="31.5"/>
    <n v="189"/>
    <x v="76"/>
    <x v="78"/>
    <x v="1"/>
    <x v="0"/>
    <x v="2"/>
    <x v="0"/>
    <x v="3"/>
    <n v="2"/>
    <n v="12"/>
    <x v="1"/>
  </r>
  <r>
    <s v="TX502083"/>
    <x v="6"/>
    <n v="1"/>
    <n v="45.8"/>
    <n v="45.8"/>
    <x v="76"/>
    <x v="80"/>
    <x v="3"/>
    <x v="0"/>
    <x v="0"/>
    <x v="0"/>
    <x v="3"/>
    <n v="4"/>
    <n v="12"/>
    <x v="3"/>
  </r>
  <r>
    <s v="TX502084"/>
    <x v="19"/>
    <n v="4"/>
    <n v="12.8"/>
    <n v="51.2"/>
    <x v="76"/>
    <x v="82"/>
    <x v="1"/>
    <x v="1"/>
    <x v="1"/>
    <x v="0"/>
    <x v="5"/>
    <n v="7"/>
    <n v="12"/>
    <x v="1"/>
  </r>
  <r>
    <s v="TX502085"/>
    <x v="5"/>
    <n v="3"/>
    <n v="115.3"/>
    <n v="345.9"/>
    <x v="76"/>
    <x v="83"/>
    <x v="1"/>
    <x v="2"/>
    <x v="2"/>
    <x v="0"/>
    <x v="6"/>
    <n v="1"/>
    <n v="12"/>
    <x v="1"/>
  </r>
  <r>
    <s v="TX502086"/>
    <x v="5"/>
    <n v="2"/>
    <n v="85"/>
    <n v="170"/>
    <x v="76"/>
    <x v="78"/>
    <x v="1"/>
    <x v="1"/>
    <x v="0"/>
    <x v="0"/>
    <x v="7"/>
    <n v="2"/>
    <n v="12"/>
    <x v="1"/>
  </r>
  <r>
    <s v="TX502087"/>
    <x v="8"/>
    <n v="3"/>
    <n v="56.6"/>
    <n v="169.8"/>
    <x v="76"/>
    <x v="83"/>
    <x v="1"/>
    <x v="1"/>
    <x v="2"/>
    <x v="0"/>
    <x v="7"/>
    <n v="1"/>
    <n v="12"/>
    <x v="1"/>
  </r>
  <r>
    <s v="TX502088"/>
    <x v="15"/>
    <n v="27"/>
    <n v="46.3"/>
    <n v="1250.0999999999999"/>
    <x v="76"/>
    <x v="75"/>
    <x v="0"/>
    <x v="0"/>
    <x v="0"/>
    <x v="0"/>
    <x v="7"/>
    <n v="3"/>
    <n v="12"/>
    <x v="0"/>
  </r>
  <r>
    <s v="TX502089"/>
    <x v="14"/>
    <n v="4"/>
    <n v="23"/>
    <n v="92"/>
    <x v="76"/>
    <x v="80"/>
    <x v="0"/>
    <x v="3"/>
    <x v="2"/>
    <x v="0"/>
    <x v="7"/>
    <n v="4"/>
    <n v="12"/>
    <x v="0"/>
  </r>
  <r>
    <s v="TX502090"/>
    <x v="8"/>
    <n v="6"/>
    <n v="42.1"/>
    <n v="252.60000000000002"/>
    <x v="76"/>
    <x v="78"/>
    <x v="0"/>
    <x v="4"/>
    <x v="0"/>
    <x v="0"/>
    <x v="8"/>
    <n v="2"/>
    <n v="12"/>
    <x v="0"/>
  </r>
  <r>
    <s v="TX502091"/>
    <x v="5"/>
    <n v="7"/>
    <n v="57.4"/>
    <n v="401.8"/>
    <x v="76"/>
    <x v="80"/>
    <x v="1"/>
    <x v="1"/>
    <x v="4"/>
    <x v="0"/>
    <x v="8"/>
    <n v="4"/>
    <n v="12"/>
    <x v="1"/>
  </r>
  <r>
    <s v="TX502092"/>
    <x v="0"/>
    <n v="6"/>
    <n v="13.2"/>
    <n v="79.199999999999989"/>
    <x v="76"/>
    <x v="80"/>
    <x v="0"/>
    <x v="2"/>
    <x v="0"/>
    <x v="0"/>
    <x v="8"/>
    <n v="4"/>
    <n v="12"/>
    <x v="0"/>
  </r>
  <r>
    <s v="TX502093"/>
    <x v="6"/>
    <n v="3"/>
    <n v="52.3"/>
    <n v="156.89999999999998"/>
    <x v="76"/>
    <x v="83"/>
    <x v="0"/>
    <x v="1"/>
    <x v="0"/>
    <x v="0"/>
    <x v="8"/>
    <n v="1"/>
    <n v="12"/>
    <x v="0"/>
  </r>
  <r>
    <s v="TX502094"/>
    <x v="8"/>
    <n v="2"/>
    <n v="15.7"/>
    <n v="31.4"/>
    <x v="76"/>
    <x v="75"/>
    <x v="0"/>
    <x v="1"/>
    <x v="2"/>
    <x v="0"/>
    <x v="8"/>
    <n v="3"/>
    <n v="12"/>
    <x v="0"/>
  </r>
  <r>
    <s v="TX502095"/>
    <x v="7"/>
    <n v="3"/>
    <n v="35"/>
    <n v="105"/>
    <x v="76"/>
    <x v="75"/>
    <x v="1"/>
    <x v="1"/>
    <x v="2"/>
    <x v="0"/>
    <x v="9"/>
    <n v="3"/>
    <n v="12"/>
    <x v="1"/>
  </r>
  <r>
    <s v="TX502096"/>
    <x v="4"/>
    <n v="3"/>
    <n v="26.6"/>
    <n v="79.800000000000011"/>
    <x v="76"/>
    <x v="73"/>
    <x v="0"/>
    <x v="1"/>
    <x v="2"/>
    <x v="0"/>
    <x v="11"/>
    <n v="0"/>
    <n v="12"/>
    <x v="0"/>
  </r>
  <r>
    <s v="TX502097"/>
    <x v="4"/>
    <n v="8"/>
    <n v="47.9"/>
    <n v="383.2"/>
    <x v="77"/>
    <x v="78"/>
    <x v="1"/>
    <x v="3"/>
    <x v="2"/>
    <x v="0"/>
    <x v="20"/>
    <n v="1"/>
    <n v="12"/>
    <x v="1"/>
  </r>
  <r>
    <s v="TX502098"/>
    <x v="5"/>
    <n v="1"/>
    <n v="80.099999999999994"/>
    <n v="80.099999999999994"/>
    <x v="77"/>
    <x v="78"/>
    <x v="0"/>
    <x v="2"/>
    <x v="0"/>
    <x v="0"/>
    <x v="21"/>
    <n v="1"/>
    <n v="12"/>
    <x v="0"/>
  </r>
  <r>
    <s v="TX502099"/>
    <x v="6"/>
    <n v="5"/>
    <n v="50.4"/>
    <n v="252"/>
    <x v="77"/>
    <x v="78"/>
    <x v="0"/>
    <x v="1"/>
    <x v="2"/>
    <x v="0"/>
    <x v="21"/>
    <n v="1"/>
    <n v="12"/>
    <x v="0"/>
  </r>
  <r>
    <s v="TX502100"/>
    <x v="10"/>
    <n v="7"/>
    <n v="43.3"/>
    <n v="303.09999999999997"/>
    <x v="77"/>
    <x v="78"/>
    <x v="0"/>
    <x v="2"/>
    <x v="0"/>
    <x v="0"/>
    <x v="21"/>
    <n v="1"/>
    <n v="12"/>
    <x v="0"/>
  </r>
  <r>
    <s v="TX502101"/>
    <x v="10"/>
    <n v="4"/>
    <n v="57.5"/>
    <n v="230"/>
    <x v="77"/>
    <x v="78"/>
    <x v="1"/>
    <x v="1"/>
    <x v="2"/>
    <x v="0"/>
    <x v="1"/>
    <n v="1"/>
    <n v="12"/>
    <x v="1"/>
  </r>
  <r>
    <s v="TX502102"/>
    <x v="9"/>
    <n v="13"/>
    <n v="24.8"/>
    <n v="322.40000000000003"/>
    <x v="77"/>
    <x v="78"/>
    <x v="0"/>
    <x v="0"/>
    <x v="0"/>
    <x v="0"/>
    <x v="57"/>
    <n v="1"/>
    <n v="12"/>
    <x v="0"/>
  </r>
  <r>
    <s v="TX502103"/>
    <x v="2"/>
    <n v="9"/>
    <n v="85.7"/>
    <n v="771.30000000000007"/>
    <x v="77"/>
    <x v="78"/>
    <x v="1"/>
    <x v="0"/>
    <x v="0"/>
    <x v="0"/>
    <x v="42"/>
    <n v="1"/>
    <n v="12"/>
    <x v="1"/>
  </r>
  <r>
    <s v="TX502104"/>
    <x v="7"/>
    <n v="1"/>
    <n v="47.1"/>
    <n v="47.1"/>
    <x v="77"/>
    <x v="75"/>
    <x v="1"/>
    <x v="0"/>
    <x v="0"/>
    <x v="0"/>
    <x v="2"/>
    <n v="2"/>
    <n v="12"/>
    <x v="1"/>
  </r>
  <r>
    <s v="TX502105"/>
    <x v="5"/>
    <n v="10"/>
    <n v="83.2"/>
    <n v="832"/>
    <x v="77"/>
    <x v="79"/>
    <x v="1"/>
    <x v="0"/>
    <x v="0"/>
    <x v="0"/>
    <x v="33"/>
    <n v="4"/>
    <n v="12"/>
    <x v="1"/>
  </r>
  <r>
    <s v="TX502106"/>
    <x v="2"/>
    <n v="3"/>
    <n v="157"/>
    <n v="471"/>
    <x v="77"/>
    <x v="75"/>
    <x v="1"/>
    <x v="0"/>
    <x v="2"/>
    <x v="0"/>
    <x v="22"/>
    <n v="2"/>
    <n v="12"/>
    <x v="1"/>
  </r>
  <r>
    <s v="TX502107"/>
    <x v="16"/>
    <n v="4"/>
    <n v="33.700000000000003"/>
    <n v="134.80000000000001"/>
    <x v="77"/>
    <x v="78"/>
    <x v="0"/>
    <x v="2"/>
    <x v="2"/>
    <x v="0"/>
    <x v="22"/>
    <n v="1"/>
    <n v="12"/>
    <x v="0"/>
  </r>
  <r>
    <s v="TX502108"/>
    <x v="2"/>
    <n v="3"/>
    <n v="60.8"/>
    <n v="182.39999999999998"/>
    <x v="77"/>
    <x v="79"/>
    <x v="1"/>
    <x v="1"/>
    <x v="1"/>
    <x v="0"/>
    <x v="3"/>
    <n v="4"/>
    <n v="12"/>
    <x v="1"/>
  </r>
  <r>
    <s v="TX502109"/>
    <x v="7"/>
    <n v="1"/>
    <n v="57.6"/>
    <n v="57.6"/>
    <x v="77"/>
    <x v="78"/>
    <x v="0"/>
    <x v="1"/>
    <x v="4"/>
    <x v="0"/>
    <x v="3"/>
    <n v="1"/>
    <n v="12"/>
    <x v="0"/>
  </r>
  <r>
    <s v="TX502110"/>
    <x v="10"/>
    <n v="1"/>
    <n v="32"/>
    <n v="32"/>
    <x v="77"/>
    <x v="75"/>
    <x v="0"/>
    <x v="0"/>
    <x v="0"/>
    <x v="0"/>
    <x v="3"/>
    <n v="2"/>
    <n v="12"/>
    <x v="0"/>
  </r>
  <r>
    <s v="TX502111"/>
    <x v="10"/>
    <n v="4"/>
    <n v="23.5"/>
    <n v="94"/>
    <x v="77"/>
    <x v="78"/>
    <x v="1"/>
    <x v="0"/>
    <x v="2"/>
    <x v="0"/>
    <x v="3"/>
    <n v="1"/>
    <n v="12"/>
    <x v="1"/>
  </r>
  <r>
    <s v="TX502112"/>
    <x v="12"/>
    <n v="3"/>
    <n v="44.8"/>
    <n v="134.39999999999998"/>
    <x v="77"/>
    <x v="78"/>
    <x v="3"/>
    <x v="4"/>
    <x v="0"/>
    <x v="0"/>
    <x v="3"/>
    <n v="1"/>
    <n v="12"/>
    <x v="3"/>
  </r>
  <r>
    <s v="TX502113"/>
    <x v="0"/>
    <n v="8"/>
    <n v="11.7"/>
    <n v="93.6"/>
    <x v="77"/>
    <x v="78"/>
    <x v="0"/>
    <x v="2"/>
    <x v="2"/>
    <x v="0"/>
    <x v="3"/>
    <n v="1"/>
    <n v="12"/>
    <x v="0"/>
  </r>
  <r>
    <s v="TX502114"/>
    <x v="7"/>
    <n v="2"/>
    <n v="38.799999999999997"/>
    <n v="77.599999999999994"/>
    <x v="77"/>
    <x v="80"/>
    <x v="1"/>
    <x v="2"/>
    <x v="0"/>
    <x v="0"/>
    <x v="3"/>
    <n v="3"/>
    <n v="12"/>
    <x v="1"/>
  </r>
  <r>
    <s v="TX502115"/>
    <x v="5"/>
    <n v="14"/>
    <n v="86.9"/>
    <n v="1216.6000000000001"/>
    <x v="77"/>
    <x v="77"/>
    <x v="1"/>
    <x v="1"/>
    <x v="0"/>
    <x v="0"/>
    <x v="3"/>
    <n v="5"/>
    <n v="12"/>
    <x v="1"/>
  </r>
  <r>
    <s v="TX502116"/>
    <x v="8"/>
    <n v="1"/>
    <n v="18.3"/>
    <n v="18.3"/>
    <x v="77"/>
    <x v="78"/>
    <x v="1"/>
    <x v="0"/>
    <x v="0"/>
    <x v="0"/>
    <x v="3"/>
    <n v="1"/>
    <n v="12"/>
    <x v="1"/>
  </r>
  <r>
    <s v="TX502117"/>
    <x v="5"/>
    <n v="1"/>
    <n v="47.5"/>
    <n v="47.5"/>
    <x v="77"/>
    <x v="79"/>
    <x v="0"/>
    <x v="4"/>
    <x v="2"/>
    <x v="0"/>
    <x v="3"/>
    <n v="4"/>
    <n v="12"/>
    <x v="0"/>
  </r>
  <r>
    <s v="TX502118"/>
    <x v="1"/>
    <n v="2"/>
    <n v="78.599999999999994"/>
    <n v="157.19999999999999"/>
    <x v="77"/>
    <x v="78"/>
    <x v="0"/>
    <x v="2"/>
    <x v="2"/>
    <x v="0"/>
    <x v="3"/>
    <n v="1"/>
    <n v="12"/>
    <x v="0"/>
  </r>
  <r>
    <s v="TX502119"/>
    <x v="6"/>
    <n v="4"/>
    <n v="87.3"/>
    <n v="349.2"/>
    <x v="77"/>
    <x v="78"/>
    <x v="0"/>
    <x v="0"/>
    <x v="0"/>
    <x v="0"/>
    <x v="3"/>
    <n v="1"/>
    <n v="12"/>
    <x v="0"/>
  </r>
  <r>
    <s v="TX502120"/>
    <x v="9"/>
    <n v="2"/>
    <n v="63.2"/>
    <n v="126.4"/>
    <x v="77"/>
    <x v="83"/>
    <x v="0"/>
    <x v="4"/>
    <x v="1"/>
    <x v="0"/>
    <x v="3"/>
    <n v="0"/>
    <n v="12"/>
    <x v="0"/>
  </r>
  <r>
    <s v="TX502121"/>
    <x v="5"/>
    <n v="5"/>
    <n v="33.700000000000003"/>
    <n v="168.5"/>
    <x v="77"/>
    <x v="78"/>
    <x v="1"/>
    <x v="0"/>
    <x v="0"/>
    <x v="0"/>
    <x v="3"/>
    <n v="1"/>
    <n v="12"/>
    <x v="1"/>
  </r>
  <r>
    <s v="TX502122"/>
    <x v="2"/>
    <n v="3"/>
    <n v="107.4"/>
    <n v="322.20000000000005"/>
    <x v="77"/>
    <x v="84"/>
    <x v="1"/>
    <x v="1"/>
    <x v="2"/>
    <x v="0"/>
    <x v="3"/>
    <n v="13"/>
    <n v="12"/>
    <x v="1"/>
  </r>
  <r>
    <s v="TX502123"/>
    <x v="4"/>
    <n v="4"/>
    <n v="22.2"/>
    <n v="88.8"/>
    <x v="77"/>
    <x v="78"/>
    <x v="2"/>
    <x v="1"/>
    <x v="2"/>
    <x v="0"/>
    <x v="24"/>
    <n v="1"/>
    <n v="12"/>
    <x v="2"/>
  </r>
  <r>
    <s v="TX502124"/>
    <x v="18"/>
    <n v="3"/>
    <n v="52.8"/>
    <n v="158.39999999999998"/>
    <x v="77"/>
    <x v="78"/>
    <x v="0"/>
    <x v="3"/>
    <x v="2"/>
    <x v="0"/>
    <x v="24"/>
    <n v="1"/>
    <n v="12"/>
    <x v="0"/>
  </r>
  <r>
    <s v="TX502125"/>
    <x v="8"/>
    <n v="3"/>
    <n v="41.5"/>
    <n v="124.5"/>
    <x v="77"/>
    <x v="80"/>
    <x v="1"/>
    <x v="0"/>
    <x v="0"/>
    <x v="0"/>
    <x v="25"/>
    <n v="3"/>
    <n v="12"/>
    <x v="1"/>
  </r>
  <r>
    <s v="TX502126"/>
    <x v="12"/>
    <n v="8"/>
    <n v="103.5"/>
    <n v="828"/>
    <x v="77"/>
    <x v="80"/>
    <x v="1"/>
    <x v="0"/>
    <x v="2"/>
    <x v="0"/>
    <x v="23"/>
    <n v="3"/>
    <n v="12"/>
    <x v="1"/>
  </r>
  <r>
    <s v="TX502127"/>
    <x v="4"/>
    <n v="14"/>
    <n v="37.5"/>
    <n v="525"/>
    <x v="77"/>
    <x v="83"/>
    <x v="1"/>
    <x v="1"/>
    <x v="2"/>
    <x v="0"/>
    <x v="6"/>
    <n v="0"/>
    <n v="12"/>
    <x v="1"/>
  </r>
  <r>
    <s v="TX502128"/>
    <x v="15"/>
    <n v="8"/>
    <n v="44.4"/>
    <n v="355.2"/>
    <x v="77"/>
    <x v="82"/>
    <x v="1"/>
    <x v="3"/>
    <x v="2"/>
    <x v="0"/>
    <x v="7"/>
    <n v="6"/>
    <n v="12"/>
    <x v="1"/>
  </r>
  <r>
    <s v="TX502129"/>
    <x v="8"/>
    <n v="3"/>
    <n v="26.2"/>
    <n v="78.599999999999994"/>
    <x v="77"/>
    <x v="78"/>
    <x v="0"/>
    <x v="0"/>
    <x v="0"/>
    <x v="0"/>
    <x v="8"/>
    <n v="1"/>
    <n v="12"/>
    <x v="0"/>
  </r>
  <r>
    <s v="TX502130"/>
    <x v="1"/>
    <n v="7"/>
    <n v="32.200000000000003"/>
    <n v="225.40000000000003"/>
    <x v="77"/>
    <x v="78"/>
    <x v="1"/>
    <x v="1"/>
    <x v="2"/>
    <x v="0"/>
    <x v="8"/>
    <n v="1"/>
    <n v="12"/>
    <x v="1"/>
  </r>
  <r>
    <s v="TX502131"/>
    <x v="8"/>
    <n v="1"/>
    <n v="17.399999999999999"/>
    <n v="17.399999999999999"/>
    <x v="77"/>
    <x v="79"/>
    <x v="2"/>
    <x v="2"/>
    <x v="1"/>
    <x v="0"/>
    <x v="8"/>
    <n v="4"/>
    <n v="12"/>
    <x v="2"/>
  </r>
  <r>
    <s v="TX502132"/>
    <x v="8"/>
    <n v="6"/>
    <n v="72.3"/>
    <n v="433.79999999999995"/>
    <x v="77"/>
    <x v="80"/>
    <x v="1"/>
    <x v="0"/>
    <x v="0"/>
    <x v="0"/>
    <x v="8"/>
    <n v="3"/>
    <n v="12"/>
    <x v="1"/>
  </r>
  <r>
    <s v="TX502133"/>
    <x v="8"/>
    <n v="11"/>
    <n v="24.3"/>
    <n v="267.3"/>
    <x v="77"/>
    <x v="78"/>
    <x v="0"/>
    <x v="0"/>
    <x v="0"/>
    <x v="0"/>
    <x v="8"/>
    <n v="1"/>
    <n v="12"/>
    <x v="0"/>
  </r>
  <r>
    <s v="TX502134"/>
    <x v="13"/>
    <n v="3"/>
    <n v="49.1"/>
    <n v="147.30000000000001"/>
    <x v="77"/>
    <x v="82"/>
    <x v="0"/>
    <x v="2"/>
    <x v="4"/>
    <x v="0"/>
    <x v="8"/>
    <n v="6"/>
    <n v="12"/>
    <x v="0"/>
  </r>
  <r>
    <s v="TX502135"/>
    <x v="2"/>
    <n v="10"/>
    <n v="234.7"/>
    <n v="2347"/>
    <x v="77"/>
    <x v="78"/>
    <x v="0"/>
    <x v="3"/>
    <x v="1"/>
    <x v="0"/>
    <x v="8"/>
    <n v="1"/>
    <n v="12"/>
    <x v="0"/>
  </r>
  <r>
    <s v="TX502136"/>
    <x v="3"/>
    <n v="5"/>
    <n v="76.099999999999994"/>
    <n v="380.5"/>
    <x v="77"/>
    <x v="75"/>
    <x v="0"/>
    <x v="1"/>
    <x v="1"/>
    <x v="0"/>
    <x v="17"/>
    <n v="2"/>
    <n v="12"/>
    <x v="0"/>
  </r>
  <r>
    <s v="TX502137"/>
    <x v="1"/>
    <n v="3"/>
    <n v="93.9"/>
    <n v="281.70000000000005"/>
    <x v="77"/>
    <x v="78"/>
    <x v="0"/>
    <x v="1"/>
    <x v="4"/>
    <x v="0"/>
    <x v="11"/>
    <n v="1"/>
    <n v="12"/>
    <x v="0"/>
  </r>
  <r>
    <s v="TX502138"/>
    <x v="2"/>
    <n v="4"/>
    <n v="187"/>
    <n v="748"/>
    <x v="78"/>
    <x v="79"/>
    <x v="0"/>
    <x v="0"/>
    <x v="0"/>
    <x v="0"/>
    <x v="11"/>
    <n v="3"/>
    <n v="12"/>
    <x v="0"/>
  </r>
  <r>
    <s v="TX502139"/>
    <x v="8"/>
    <n v="2"/>
    <n v="18"/>
    <n v="36"/>
    <x v="78"/>
    <x v="75"/>
    <x v="1"/>
    <x v="1"/>
    <x v="2"/>
    <x v="0"/>
    <x v="53"/>
    <n v="1"/>
    <n v="12"/>
    <x v="1"/>
  </r>
  <r>
    <s v="TX502140"/>
    <x v="4"/>
    <n v="1"/>
    <n v="24.4"/>
    <n v="24.4"/>
    <x v="78"/>
    <x v="75"/>
    <x v="1"/>
    <x v="4"/>
    <x v="2"/>
    <x v="0"/>
    <x v="21"/>
    <n v="1"/>
    <n v="12"/>
    <x v="1"/>
  </r>
  <r>
    <s v="TX502141"/>
    <x v="10"/>
    <n v="2"/>
    <n v="38.799999999999997"/>
    <n v="77.599999999999994"/>
    <x v="78"/>
    <x v="75"/>
    <x v="0"/>
    <x v="4"/>
    <x v="1"/>
    <x v="0"/>
    <x v="3"/>
    <n v="1"/>
    <n v="12"/>
    <x v="0"/>
  </r>
  <r>
    <s v="TX502142"/>
    <x v="3"/>
    <n v="1"/>
    <n v="59.7"/>
    <n v="59.7"/>
    <x v="78"/>
    <x v="79"/>
    <x v="0"/>
    <x v="3"/>
    <x v="0"/>
    <x v="0"/>
    <x v="3"/>
    <n v="3"/>
    <n v="12"/>
    <x v="0"/>
  </r>
  <r>
    <s v="TX502143"/>
    <x v="7"/>
    <n v="1"/>
    <n v="31.2"/>
    <n v="31.2"/>
    <x v="78"/>
    <x v="75"/>
    <x v="0"/>
    <x v="1"/>
    <x v="2"/>
    <x v="0"/>
    <x v="3"/>
    <n v="1"/>
    <n v="12"/>
    <x v="0"/>
  </r>
  <r>
    <s v="TX502144"/>
    <x v="0"/>
    <n v="1"/>
    <n v="16.8"/>
    <n v="16.8"/>
    <x v="78"/>
    <x v="75"/>
    <x v="1"/>
    <x v="2"/>
    <x v="1"/>
    <x v="0"/>
    <x v="3"/>
    <n v="1"/>
    <n v="12"/>
    <x v="1"/>
  </r>
  <r>
    <s v="TX502145"/>
    <x v="8"/>
    <n v="1"/>
    <n v="46"/>
    <n v="46"/>
    <x v="78"/>
    <x v="75"/>
    <x v="0"/>
    <x v="0"/>
    <x v="0"/>
    <x v="0"/>
    <x v="3"/>
    <n v="1"/>
    <n v="12"/>
    <x v="0"/>
  </r>
  <r>
    <s v="TX502146"/>
    <x v="9"/>
    <n v="8"/>
    <n v="42.2"/>
    <n v="337.6"/>
    <x v="78"/>
    <x v="79"/>
    <x v="1"/>
    <x v="3"/>
    <x v="2"/>
    <x v="0"/>
    <x v="3"/>
    <n v="3"/>
    <n v="12"/>
    <x v="1"/>
  </r>
  <r>
    <s v="TX502147"/>
    <x v="1"/>
    <n v="3"/>
    <n v="71.5"/>
    <n v="214.5"/>
    <x v="78"/>
    <x v="85"/>
    <x v="1"/>
    <x v="0"/>
    <x v="0"/>
    <x v="0"/>
    <x v="3"/>
    <n v="14"/>
    <n v="12"/>
    <x v="1"/>
  </r>
  <r>
    <s v="TX502148"/>
    <x v="1"/>
    <n v="2"/>
    <n v="76.599999999999994"/>
    <n v="153.19999999999999"/>
    <x v="78"/>
    <x v="78"/>
    <x v="0"/>
    <x v="0"/>
    <x v="2"/>
    <x v="0"/>
    <x v="3"/>
    <n v="0"/>
    <n v="12"/>
    <x v="0"/>
  </r>
  <r>
    <s v="TX502149"/>
    <x v="12"/>
    <n v="2"/>
    <n v="87.3"/>
    <n v="174.6"/>
    <x v="78"/>
    <x v="86"/>
    <x v="1"/>
    <x v="3"/>
    <x v="2"/>
    <x v="0"/>
    <x v="3"/>
    <n v="8"/>
    <n v="12"/>
    <x v="1"/>
  </r>
  <r>
    <s v="TX502150"/>
    <x v="1"/>
    <n v="1"/>
    <n v="63"/>
    <n v="63"/>
    <x v="78"/>
    <x v="79"/>
    <x v="0"/>
    <x v="3"/>
    <x v="0"/>
    <x v="0"/>
    <x v="3"/>
    <n v="3"/>
    <n v="12"/>
    <x v="0"/>
  </r>
  <r>
    <s v="TX502151"/>
    <x v="8"/>
    <n v="2"/>
    <n v="41.7"/>
    <n v="83.4"/>
    <x v="78"/>
    <x v="75"/>
    <x v="1"/>
    <x v="4"/>
    <x v="1"/>
    <x v="0"/>
    <x v="43"/>
    <n v="1"/>
    <n v="12"/>
    <x v="1"/>
  </r>
  <r>
    <s v="TX502152"/>
    <x v="6"/>
    <n v="2"/>
    <n v="76.099999999999994"/>
    <n v="152.19999999999999"/>
    <x v="78"/>
    <x v="78"/>
    <x v="1"/>
    <x v="4"/>
    <x v="2"/>
    <x v="0"/>
    <x v="16"/>
    <n v="0"/>
    <n v="12"/>
    <x v="1"/>
  </r>
  <r>
    <s v="TX502153"/>
    <x v="13"/>
    <n v="2"/>
    <n v="28.5"/>
    <n v="57"/>
    <x v="78"/>
    <x v="75"/>
    <x v="1"/>
    <x v="0"/>
    <x v="2"/>
    <x v="0"/>
    <x v="4"/>
    <n v="1"/>
    <n v="12"/>
    <x v="1"/>
  </r>
  <r>
    <s v="TX502154"/>
    <x v="0"/>
    <n v="4"/>
    <n v="32.1"/>
    <n v="128.4"/>
    <x v="78"/>
    <x v="75"/>
    <x v="1"/>
    <x v="1"/>
    <x v="2"/>
    <x v="0"/>
    <x v="25"/>
    <n v="1"/>
    <n v="12"/>
    <x v="1"/>
  </r>
  <r>
    <s v="TX502155"/>
    <x v="4"/>
    <n v="3"/>
    <n v="39"/>
    <n v="117"/>
    <x v="78"/>
    <x v="79"/>
    <x v="0"/>
    <x v="1"/>
    <x v="2"/>
    <x v="0"/>
    <x v="25"/>
    <n v="3"/>
    <n v="12"/>
    <x v="0"/>
  </r>
  <r>
    <s v="TX502156"/>
    <x v="6"/>
    <n v="1"/>
    <n v="78.5"/>
    <n v="78.5"/>
    <x v="78"/>
    <x v="75"/>
    <x v="0"/>
    <x v="1"/>
    <x v="0"/>
    <x v="0"/>
    <x v="6"/>
    <n v="1"/>
    <n v="12"/>
    <x v="0"/>
  </r>
  <r>
    <s v="TX502157"/>
    <x v="4"/>
    <n v="5"/>
    <n v="49.7"/>
    <n v="248.5"/>
    <x v="78"/>
    <x v="80"/>
    <x v="1"/>
    <x v="0"/>
    <x v="0"/>
    <x v="0"/>
    <x v="6"/>
    <n v="2"/>
    <n v="12"/>
    <x v="1"/>
  </r>
  <r>
    <s v="TX502158"/>
    <x v="1"/>
    <n v="4"/>
    <n v="68.400000000000006"/>
    <n v="273.60000000000002"/>
    <x v="78"/>
    <x v="75"/>
    <x v="1"/>
    <x v="2"/>
    <x v="2"/>
    <x v="0"/>
    <x v="7"/>
    <n v="1"/>
    <n v="12"/>
    <x v="1"/>
  </r>
  <r>
    <s v="TX502159"/>
    <x v="3"/>
    <n v="2"/>
    <n v="72.900000000000006"/>
    <n v="145.80000000000001"/>
    <x v="78"/>
    <x v="79"/>
    <x v="2"/>
    <x v="0"/>
    <x v="2"/>
    <x v="0"/>
    <x v="7"/>
    <n v="3"/>
    <n v="12"/>
    <x v="2"/>
  </r>
  <r>
    <s v="TX502160"/>
    <x v="5"/>
    <n v="13"/>
    <n v="30.3"/>
    <n v="393.90000000000003"/>
    <x v="78"/>
    <x v="75"/>
    <x v="0"/>
    <x v="4"/>
    <x v="0"/>
    <x v="0"/>
    <x v="7"/>
    <n v="1"/>
    <n v="12"/>
    <x v="0"/>
  </r>
  <r>
    <s v="TX502161"/>
    <x v="6"/>
    <n v="11"/>
    <n v="57.9"/>
    <n v="636.9"/>
    <x v="78"/>
    <x v="75"/>
    <x v="1"/>
    <x v="0"/>
    <x v="0"/>
    <x v="0"/>
    <x v="8"/>
    <n v="1"/>
    <n v="12"/>
    <x v="1"/>
  </r>
  <r>
    <s v="TX502162"/>
    <x v="1"/>
    <n v="1"/>
    <n v="96.7"/>
    <n v="96.7"/>
    <x v="78"/>
    <x v="75"/>
    <x v="0"/>
    <x v="0"/>
    <x v="0"/>
    <x v="0"/>
    <x v="8"/>
    <n v="1"/>
    <n v="12"/>
    <x v="0"/>
  </r>
  <r>
    <s v="TX502163"/>
    <x v="8"/>
    <n v="12"/>
    <n v="27.6"/>
    <n v="331.20000000000005"/>
    <x v="78"/>
    <x v="80"/>
    <x v="0"/>
    <x v="2"/>
    <x v="2"/>
    <x v="0"/>
    <x v="8"/>
    <n v="2"/>
    <n v="12"/>
    <x v="0"/>
  </r>
  <r>
    <s v="TX502164"/>
    <x v="6"/>
    <n v="4"/>
    <n v="64.7"/>
    <n v="258.8"/>
    <x v="78"/>
    <x v="78"/>
    <x v="0"/>
    <x v="3"/>
    <x v="2"/>
    <x v="0"/>
    <x v="8"/>
    <n v="0"/>
    <n v="12"/>
    <x v="0"/>
  </r>
  <r>
    <s v="TX502165"/>
    <x v="10"/>
    <n v="6"/>
    <n v="30.5"/>
    <n v="183"/>
    <x v="78"/>
    <x v="75"/>
    <x v="0"/>
    <x v="4"/>
    <x v="0"/>
    <x v="0"/>
    <x v="8"/>
    <n v="1"/>
    <n v="12"/>
    <x v="0"/>
  </r>
  <r>
    <s v="TX502166"/>
    <x v="6"/>
    <n v="70"/>
    <n v="106"/>
    <n v="7420"/>
    <x v="79"/>
    <x v="79"/>
    <x v="0"/>
    <x v="4"/>
    <x v="2"/>
    <x v="0"/>
    <x v="8"/>
    <n v="2"/>
    <n v="12"/>
    <x v="0"/>
  </r>
  <r>
    <s v="TX502167"/>
    <x v="12"/>
    <n v="5"/>
    <n v="76.8"/>
    <n v="384"/>
    <x v="79"/>
    <x v="87"/>
    <x v="2"/>
    <x v="1"/>
    <x v="1"/>
    <x v="0"/>
    <x v="18"/>
    <n v="6"/>
    <n v="12"/>
    <x v="2"/>
  </r>
  <r>
    <s v="TX502168"/>
    <x v="6"/>
    <n v="2"/>
    <n v="80.400000000000006"/>
    <n v="160.80000000000001"/>
    <x v="79"/>
    <x v="80"/>
    <x v="1"/>
    <x v="2"/>
    <x v="0"/>
    <x v="0"/>
    <x v="13"/>
    <n v="1"/>
    <n v="12"/>
    <x v="1"/>
  </r>
  <r>
    <s v="TX502169"/>
    <x v="6"/>
    <n v="4"/>
    <n v="69.099999999999994"/>
    <n v="276.39999999999998"/>
    <x v="79"/>
    <x v="80"/>
    <x v="0"/>
    <x v="1"/>
    <x v="2"/>
    <x v="0"/>
    <x v="21"/>
    <n v="1"/>
    <n v="12"/>
    <x v="0"/>
  </r>
  <r>
    <s v="TX502170"/>
    <x v="18"/>
    <n v="2"/>
    <n v="76.400000000000006"/>
    <n v="152.80000000000001"/>
    <x v="79"/>
    <x v="75"/>
    <x v="0"/>
    <x v="3"/>
    <x v="0"/>
    <x v="0"/>
    <x v="21"/>
    <n v="0"/>
    <n v="12"/>
    <x v="0"/>
  </r>
  <r>
    <s v="TX502171"/>
    <x v="2"/>
    <n v="2"/>
    <n v="61.3"/>
    <n v="122.6"/>
    <x v="79"/>
    <x v="80"/>
    <x v="1"/>
    <x v="1"/>
    <x v="1"/>
    <x v="0"/>
    <x v="21"/>
    <n v="1"/>
    <n v="12"/>
    <x v="1"/>
  </r>
  <r>
    <s v="TX502172"/>
    <x v="7"/>
    <n v="1"/>
    <n v="58"/>
    <n v="58"/>
    <x v="79"/>
    <x v="80"/>
    <x v="0"/>
    <x v="3"/>
    <x v="1"/>
    <x v="0"/>
    <x v="1"/>
    <n v="1"/>
    <n v="12"/>
    <x v="0"/>
  </r>
  <r>
    <s v="TX502173"/>
    <x v="2"/>
    <n v="8"/>
    <n v="102.3"/>
    <n v="818.4"/>
    <x v="79"/>
    <x v="79"/>
    <x v="0"/>
    <x v="2"/>
    <x v="0"/>
    <x v="0"/>
    <x v="42"/>
    <n v="2"/>
    <n v="12"/>
    <x v="0"/>
  </r>
  <r>
    <s v="TX502174"/>
    <x v="19"/>
    <n v="2"/>
    <n v="13.8"/>
    <n v="27.6"/>
    <x v="79"/>
    <x v="80"/>
    <x v="1"/>
    <x v="4"/>
    <x v="2"/>
    <x v="0"/>
    <x v="2"/>
    <n v="1"/>
    <n v="12"/>
    <x v="1"/>
  </r>
  <r>
    <s v="TX502175"/>
    <x v="8"/>
    <n v="3"/>
    <n v="33.299999999999997"/>
    <n v="99.899999999999991"/>
    <x v="79"/>
    <x v="77"/>
    <x v="1"/>
    <x v="2"/>
    <x v="0"/>
    <x v="0"/>
    <x v="22"/>
    <n v="3"/>
    <n v="12"/>
    <x v="1"/>
  </r>
  <r>
    <s v="TX502176"/>
    <x v="10"/>
    <n v="1"/>
    <n v="27.4"/>
    <n v="27.4"/>
    <x v="79"/>
    <x v="77"/>
    <x v="0"/>
    <x v="0"/>
    <x v="2"/>
    <x v="0"/>
    <x v="22"/>
    <n v="3"/>
    <n v="12"/>
    <x v="0"/>
  </r>
  <r>
    <s v="TX502177"/>
    <x v="14"/>
    <n v="2"/>
    <n v="25.6"/>
    <n v="51.2"/>
    <x v="79"/>
    <x v="80"/>
    <x v="1"/>
    <x v="1"/>
    <x v="1"/>
    <x v="0"/>
    <x v="3"/>
    <n v="1"/>
    <n v="12"/>
    <x v="1"/>
  </r>
  <r>
    <s v="TX502178"/>
    <x v="13"/>
    <n v="1"/>
    <n v="58.4"/>
    <n v="58.4"/>
    <x v="79"/>
    <x v="80"/>
    <x v="1"/>
    <x v="2"/>
    <x v="2"/>
    <x v="0"/>
    <x v="3"/>
    <n v="1"/>
    <n v="12"/>
    <x v="1"/>
  </r>
  <r>
    <s v="TX502179"/>
    <x v="11"/>
    <n v="30"/>
    <n v="27"/>
    <n v="810"/>
    <x v="79"/>
    <x v="80"/>
    <x v="1"/>
    <x v="4"/>
    <x v="0"/>
    <x v="0"/>
    <x v="3"/>
    <n v="1"/>
    <n v="12"/>
    <x v="1"/>
  </r>
  <r>
    <s v="TX502180"/>
    <x v="0"/>
    <n v="4"/>
    <n v="14.2"/>
    <n v="56.8"/>
    <x v="79"/>
    <x v="80"/>
    <x v="0"/>
    <x v="0"/>
    <x v="2"/>
    <x v="0"/>
    <x v="3"/>
    <n v="1"/>
    <n v="12"/>
    <x v="0"/>
  </r>
  <r>
    <s v="TX502181"/>
    <x v="7"/>
    <n v="2"/>
    <n v="68"/>
    <n v="136"/>
    <x v="79"/>
    <x v="88"/>
    <x v="0"/>
    <x v="2"/>
    <x v="1"/>
    <x v="0"/>
    <x v="3"/>
    <n v="10"/>
    <n v="12"/>
    <x v="0"/>
  </r>
  <r>
    <s v="TX502182"/>
    <x v="8"/>
    <n v="1"/>
    <n v="30.7"/>
    <n v="30.7"/>
    <x v="79"/>
    <x v="80"/>
    <x v="0"/>
    <x v="0"/>
    <x v="0"/>
    <x v="0"/>
    <x v="3"/>
    <n v="1"/>
    <n v="12"/>
    <x v="0"/>
  </r>
  <r>
    <s v="TX502183"/>
    <x v="17"/>
    <n v="13"/>
    <n v="51.6"/>
    <n v="670.80000000000007"/>
    <x v="79"/>
    <x v="77"/>
    <x v="3"/>
    <x v="1"/>
    <x v="2"/>
    <x v="0"/>
    <x v="3"/>
    <n v="3"/>
    <n v="12"/>
    <x v="3"/>
  </r>
  <r>
    <s v="TX502184"/>
    <x v="8"/>
    <n v="3"/>
    <n v="20.6"/>
    <n v="61.800000000000004"/>
    <x v="79"/>
    <x v="82"/>
    <x v="1"/>
    <x v="4"/>
    <x v="2"/>
    <x v="0"/>
    <x v="3"/>
    <n v="4"/>
    <n v="12"/>
    <x v="1"/>
  </r>
  <r>
    <s v="TX502185"/>
    <x v="8"/>
    <n v="1"/>
    <n v="24.8"/>
    <n v="24.8"/>
    <x v="79"/>
    <x v="80"/>
    <x v="0"/>
    <x v="4"/>
    <x v="0"/>
    <x v="0"/>
    <x v="3"/>
    <n v="1"/>
    <n v="12"/>
    <x v="0"/>
  </r>
  <r>
    <s v="TX502186"/>
    <x v="0"/>
    <n v="7"/>
    <n v="11.2"/>
    <n v="78.399999999999991"/>
    <x v="79"/>
    <x v="77"/>
    <x v="0"/>
    <x v="1"/>
    <x v="0"/>
    <x v="0"/>
    <x v="3"/>
    <n v="3"/>
    <n v="12"/>
    <x v="0"/>
  </r>
  <r>
    <s v="TX502187"/>
    <x v="11"/>
    <n v="2"/>
    <n v="51.2"/>
    <n v="102.4"/>
    <x v="79"/>
    <x v="80"/>
    <x v="1"/>
    <x v="1"/>
    <x v="2"/>
    <x v="0"/>
    <x v="3"/>
    <n v="1"/>
    <n v="12"/>
    <x v="1"/>
  </r>
  <r>
    <s v="TX502188"/>
    <x v="7"/>
    <n v="6"/>
    <n v="90.5"/>
    <n v="543"/>
    <x v="79"/>
    <x v="80"/>
    <x v="1"/>
    <x v="1"/>
    <x v="4"/>
    <x v="0"/>
    <x v="3"/>
    <n v="1"/>
    <n v="12"/>
    <x v="1"/>
  </r>
  <r>
    <s v="TX502189"/>
    <x v="1"/>
    <n v="2"/>
    <n v="42.4"/>
    <n v="84.8"/>
    <x v="79"/>
    <x v="80"/>
    <x v="0"/>
    <x v="1"/>
    <x v="2"/>
    <x v="0"/>
    <x v="4"/>
    <n v="1"/>
    <n v="12"/>
    <x v="0"/>
  </r>
  <r>
    <s v="TX502190"/>
    <x v="1"/>
    <n v="2"/>
    <n v="38.200000000000003"/>
    <n v="76.400000000000006"/>
    <x v="79"/>
    <x v="80"/>
    <x v="0"/>
    <x v="0"/>
    <x v="0"/>
    <x v="0"/>
    <x v="5"/>
    <n v="1"/>
    <n v="12"/>
    <x v="0"/>
  </r>
  <r>
    <s v="TX502191"/>
    <x v="2"/>
    <n v="9"/>
    <n v="121.3"/>
    <n v="1091.7"/>
    <x v="79"/>
    <x v="81"/>
    <x v="0"/>
    <x v="0"/>
    <x v="0"/>
    <x v="0"/>
    <x v="6"/>
    <n v="5"/>
    <n v="12"/>
    <x v="0"/>
  </r>
  <r>
    <s v="TX502192"/>
    <x v="6"/>
    <n v="2"/>
    <n v="46.9"/>
    <n v="93.8"/>
    <x v="79"/>
    <x v="86"/>
    <x v="0"/>
    <x v="0"/>
    <x v="0"/>
    <x v="0"/>
    <x v="8"/>
    <n v="7"/>
    <n v="12"/>
    <x v="0"/>
  </r>
  <r>
    <s v="TX502193"/>
    <x v="10"/>
    <n v="1"/>
    <n v="55.3"/>
    <n v="55.3"/>
    <x v="79"/>
    <x v="79"/>
    <x v="0"/>
    <x v="0"/>
    <x v="0"/>
    <x v="0"/>
    <x v="8"/>
    <n v="2"/>
    <n v="12"/>
    <x v="0"/>
  </r>
  <r>
    <s v="TX502194"/>
    <x v="2"/>
    <n v="3"/>
    <n v="70.599999999999994"/>
    <n v="211.79999999999998"/>
    <x v="80"/>
    <x v="80"/>
    <x v="1"/>
    <x v="0"/>
    <x v="1"/>
    <x v="0"/>
    <x v="8"/>
    <n v="0"/>
    <n v="12"/>
    <x v="1"/>
  </r>
  <r>
    <s v="TX502195"/>
    <x v="14"/>
    <n v="4"/>
    <n v="26.1"/>
    <n v="104.4"/>
    <x v="80"/>
    <x v="77"/>
    <x v="0"/>
    <x v="0"/>
    <x v="0"/>
    <x v="0"/>
    <x v="8"/>
    <n v="2"/>
    <n v="12"/>
    <x v="0"/>
  </r>
  <r>
    <s v="TX502196"/>
    <x v="9"/>
    <n v="11"/>
    <n v="34.5"/>
    <n v="379.5"/>
    <x v="80"/>
    <x v="81"/>
    <x v="0"/>
    <x v="2"/>
    <x v="0"/>
    <x v="0"/>
    <x v="17"/>
    <n v="4"/>
    <n v="12"/>
    <x v="0"/>
  </r>
  <r>
    <s v="TX502197"/>
    <x v="1"/>
    <n v="2"/>
    <n v="64.2"/>
    <n v="128.4"/>
    <x v="80"/>
    <x v="79"/>
    <x v="1"/>
    <x v="0"/>
    <x v="1"/>
    <x v="0"/>
    <x v="17"/>
    <n v="1"/>
    <n v="12"/>
    <x v="1"/>
  </r>
  <r>
    <s v="TX502198"/>
    <x v="2"/>
    <n v="4"/>
    <n v="145.69999999999999"/>
    <n v="582.79999999999995"/>
    <x v="80"/>
    <x v="79"/>
    <x v="1"/>
    <x v="0"/>
    <x v="4"/>
    <x v="0"/>
    <x v="17"/>
    <n v="1"/>
    <n v="12"/>
    <x v="1"/>
  </r>
  <r>
    <s v="TX502199"/>
    <x v="12"/>
    <n v="2"/>
    <n v="78.5"/>
    <n v="157"/>
    <x v="80"/>
    <x v="79"/>
    <x v="0"/>
    <x v="2"/>
    <x v="0"/>
    <x v="0"/>
    <x v="26"/>
    <n v="1"/>
    <n v="12"/>
    <x v="0"/>
  </r>
  <r>
    <s v="TX502200"/>
    <x v="1"/>
    <n v="1"/>
    <n v="34.200000000000003"/>
    <n v="34.200000000000003"/>
    <x v="80"/>
    <x v="77"/>
    <x v="0"/>
    <x v="0"/>
    <x v="0"/>
    <x v="0"/>
    <x v="9"/>
    <n v="2"/>
    <n v="12"/>
    <x v="0"/>
  </r>
  <r>
    <s v="TX502201"/>
    <x v="19"/>
    <n v="1"/>
    <n v="26.2"/>
    <n v="26.2"/>
    <x v="80"/>
    <x v="79"/>
    <x v="0"/>
    <x v="2"/>
    <x v="0"/>
    <x v="0"/>
    <x v="9"/>
    <n v="1"/>
    <n v="12"/>
    <x v="0"/>
  </r>
  <r>
    <s v="TX502202"/>
    <x v="6"/>
    <n v="4"/>
    <n v="53.2"/>
    <n v="212.8"/>
    <x v="80"/>
    <x v="79"/>
    <x v="0"/>
    <x v="1"/>
    <x v="1"/>
    <x v="0"/>
    <x v="11"/>
    <n v="1"/>
    <n v="12"/>
    <x v="0"/>
  </r>
  <r>
    <s v="TX502203"/>
    <x v="1"/>
    <n v="1"/>
    <n v="35.4"/>
    <n v="35.4"/>
    <x v="80"/>
    <x v="81"/>
    <x v="0"/>
    <x v="1"/>
    <x v="4"/>
    <x v="0"/>
    <x v="18"/>
    <n v="4"/>
    <n v="12"/>
    <x v="0"/>
  </r>
  <r>
    <s v="TX502204"/>
    <x v="14"/>
    <n v="2"/>
    <n v="21.3"/>
    <n v="42.6"/>
    <x v="80"/>
    <x v="79"/>
    <x v="0"/>
    <x v="2"/>
    <x v="0"/>
    <x v="0"/>
    <x v="20"/>
    <n v="1"/>
    <n v="12"/>
    <x v="0"/>
  </r>
  <r>
    <s v="TX502205"/>
    <x v="8"/>
    <n v="4"/>
    <n v="32.9"/>
    <n v="131.6"/>
    <x v="80"/>
    <x v="82"/>
    <x v="1"/>
    <x v="4"/>
    <x v="2"/>
    <x v="0"/>
    <x v="21"/>
    <n v="3"/>
    <n v="12"/>
    <x v="1"/>
  </r>
  <r>
    <s v="TX502206"/>
    <x v="5"/>
    <n v="15"/>
    <n v="85.5"/>
    <n v="1282.5"/>
    <x v="80"/>
    <x v="77"/>
    <x v="1"/>
    <x v="3"/>
    <x v="1"/>
    <x v="0"/>
    <x v="21"/>
    <n v="2"/>
    <n v="12"/>
    <x v="1"/>
  </r>
  <r>
    <s v="TX502207"/>
    <x v="4"/>
    <n v="1"/>
    <n v="26.8"/>
    <n v="26.8"/>
    <x v="80"/>
    <x v="79"/>
    <x v="1"/>
    <x v="0"/>
    <x v="1"/>
    <x v="0"/>
    <x v="2"/>
    <n v="1"/>
    <n v="12"/>
    <x v="1"/>
  </r>
  <r>
    <s v="TX502208"/>
    <x v="9"/>
    <n v="26"/>
    <n v="31.7"/>
    <n v="824.19999999999993"/>
    <x v="80"/>
    <x v="80"/>
    <x v="1"/>
    <x v="3"/>
    <x v="0"/>
    <x v="0"/>
    <x v="2"/>
    <n v="0"/>
    <n v="12"/>
    <x v="1"/>
  </r>
  <r>
    <s v="TX502209"/>
    <x v="1"/>
    <n v="2"/>
    <n v="78.3"/>
    <n v="156.6"/>
    <x v="80"/>
    <x v="77"/>
    <x v="1"/>
    <x v="1"/>
    <x v="1"/>
    <x v="0"/>
    <x v="3"/>
    <n v="2"/>
    <n v="12"/>
    <x v="1"/>
  </r>
  <r>
    <s v="TX502210"/>
    <x v="6"/>
    <n v="1"/>
    <n v="43.9"/>
    <n v="43.9"/>
    <x v="80"/>
    <x v="79"/>
    <x v="0"/>
    <x v="0"/>
    <x v="0"/>
    <x v="0"/>
    <x v="3"/>
    <n v="1"/>
    <n v="12"/>
    <x v="0"/>
  </r>
  <r>
    <s v="TX502211"/>
    <x v="18"/>
    <n v="3"/>
    <n v="84"/>
    <n v="252"/>
    <x v="80"/>
    <x v="77"/>
    <x v="2"/>
    <x v="3"/>
    <x v="2"/>
    <x v="0"/>
    <x v="3"/>
    <n v="2"/>
    <n v="12"/>
    <x v="2"/>
  </r>
  <r>
    <s v="TX502212"/>
    <x v="0"/>
    <n v="3"/>
    <n v="11.4"/>
    <n v="34.200000000000003"/>
    <x v="80"/>
    <x v="79"/>
    <x v="0"/>
    <x v="4"/>
    <x v="0"/>
    <x v="0"/>
    <x v="3"/>
    <n v="1"/>
    <n v="12"/>
    <x v="0"/>
  </r>
  <r>
    <s v="TX502213"/>
    <x v="12"/>
    <n v="8"/>
    <n v="47.5"/>
    <n v="380"/>
    <x v="80"/>
    <x v="89"/>
    <x v="1"/>
    <x v="0"/>
    <x v="0"/>
    <x v="0"/>
    <x v="3"/>
    <n v="8"/>
    <n v="12"/>
    <x v="1"/>
  </r>
  <r>
    <s v="TX502214"/>
    <x v="9"/>
    <n v="11"/>
    <n v="50.5"/>
    <n v="555.5"/>
    <x v="80"/>
    <x v="77"/>
    <x v="0"/>
    <x v="2"/>
    <x v="0"/>
    <x v="0"/>
    <x v="3"/>
    <n v="2"/>
    <n v="12"/>
    <x v="0"/>
  </r>
  <r>
    <s v="TX502215"/>
    <x v="15"/>
    <n v="1"/>
    <n v="36.299999999999997"/>
    <n v="36.299999999999997"/>
    <x v="80"/>
    <x v="82"/>
    <x v="3"/>
    <x v="0"/>
    <x v="1"/>
    <x v="0"/>
    <x v="8"/>
    <n v="3"/>
    <n v="12"/>
    <x v="3"/>
  </r>
  <r>
    <s v="TX502216"/>
    <x v="8"/>
    <n v="2"/>
    <n v="35.4"/>
    <n v="70.8"/>
    <x v="80"/>
    <x v="79"/>
    <x v="1"/>
    <x v="0"/>
    <x v="0"/>
    <x v="0"/>
    <x v="17"/>
    <n v="1"/>
    <n v="12"/>
    <x v="1"/>
  </r>
  <r>
    <s v="TX502217"/>
    <x v="1"/>
    <n v="3"/>
    <n v="45.9"/>
    <n v="137.69999999999999"/>
    <x v="81"/>
    <x v="77"/>
    <x v="0"/>
    <x v="3"/>
    <x v="0"/>
    <x v="0"/>
    <x v="9"/>
    <n v="1"/>
    <n v="13"/>
    <x v="0"/>
  </r>
  <r>
    <s v="TX502218"/>
    <x v="6"/>
    <n v="10"/>
    <n v="41.2"/>
    <n v="412"/>
    <x v="81"/>
    <x v="87"/>
    <x v="0"/>
    <x v="0"/>
    <x v="0"/>
    <x v="0"/>
    <x v="11"/>
    <n v="4"/>
    <n v="13"/>
    <x v="0"/>
  </r>
  <r>
    <s v="TX502219"/>
    <x v="17"/>
    <n v="2"/>
    <n v="45.1"/>
    <n v="90.2"/>
    <x v="81"/>
    <x v="77"/>
    <x v="0"/>
    <x v="1"/>
    <x v="1"/>
    <x v="0"/>
    <x v="21"/>
    <n v="1"/>
    <n v="13"/>
    <x v="0"/>
  </r>
  <r>
    <s v="TX502220"/>
    <x v="6"/>
    <n v="10"/>
    <n v="63.6"/>
    <n v="636"/>
    <x v="81"/>
    <x v="79"/>
    <x v="0"/>
    <x v="2"/>
    <x v="0"/>
    <x v="0"/>
    <x v="1"/>
    <n v="0"/>
    <n v="13"/>
    <x v="0"/>
  </r>
  <r>
    <s v="TX502221"/>
    <x v="8"/>
    <n v="1"/>
    <n v="70.5"/>
    <n v="70.5"/>
    <x v="81"/>
    <x v="77"/>
    <x v="0"/>
    <x v="0"/>
    <x v="0"/>
    <x v="0"/>
    <x v="3"/>
    <n v="1"/>
    <n v="13"/>
    <x v="0"/>
  </r>
  <r>
    <s v="TX502222"/>
    <x v="6"/>
    <n v="1"/>
    <n v="41.3"/>
    <n v="41.3"/>
    <x v="81"/>
    <x v="79"/>
    <x v="0"/>
    <x v="4"/>
    <x v="0"/>
    <x v="0"/>
    <x v="3"/>
    <n v="0"/>
    <n v="13"/>
    <x v="0"/>
  </r>
  <r>
    <s v="TX502223"/>
    <x v="4"/>
    <n v="1"/>
    <n v="35.299999999999997"/>
    <n v="35.299999999999997"/>
    <x v="81"/>
    <x v="81"/>
    <x v="1"/>
    <x v="4"/>
    <x v="2"/>
    <x v="0"/>
    <x v="3"/>
    <n v="3"/>
    <n v="13"/>
    <x v="1"/>
  </r>
  <r>
    <s v="TX502224"/>
    <x v="8"/>
    <n v="5"/>
    <n v="34.700000000000003"/>
    <n v="173.5"/>
    <x v="81"/>
    <x v="77"/>
    <x v="1"/>
    <x v="0"/>
    <x v="2"/>
    <x v="0"/>
    <x v="3"/>
    <n v="1"/>
    <n v="13"/>
    <x v="1"/>
  </r>
  <r>
    <s v="TX502225"/>
    <x v="8"/>
    <n v="3"/>
    <n v="26.1"/>
    <n v="78.300000000000011"/>
    <x v="81"/>
    <x v="77"/>
    <x v="1"/>
    <x v="0"/>
    <x v="0"/>
    <x v="0"/>
    <x v="3"/>
    <n v="1"/>
    <n v="13"/>
    <x v="1"/>
  </r>
  <r>
    <s v="TX502226"/>
    <x v="9"/>
    <n v="5"/>
    <n v="22.6"/>
    <n v="113"/>
    <x v="81"/>
    <x v="79"/>
    <x v="1"/>
    <x v="1"/>
    <x v="2"/>
    <x v="0"/>
    <x v="3"/>
    <n v="0"/>
    <n v="13"/>
    <x v="1"/>
  </r>
  <r>
    <s v="TX502227"/>
    <x v="2"/>
    <n v="2"/>
    <n v="154.4"/>
    <n v="308.8"/>
    <x v="81"/>
    <x v="81"/>
    <x v="0"/>
    <x v="1"/>
    <x v="1"/>
    <x v="0"/>
    <x v="3"/>
    <n v="3"/>
    <n v="13"/>
    <x v="0"/>
  </r>
  <r>
    <s v="TX502228"/>
    <x v="8"/>
    <n v="2"/>
    <n v="18.399999999999999"/>
    <n v="36.799999999999997"/>
    <x v="81"/>
    <x v="77"/>
    <x v="0"/>
    <x v="0"/>
    <x v="0"/>
    <x v="0"/>
    <x v="3"/>
    <n v="1"/>
    <n v="13"/>
    <x v="0"/>
  </r>
  <r>
    <s v="TX502229"/>
    <x v="14"/>
    <n v="1"/>
    <n v="25"/>
    <n v="25"/>
    <x v="81"/>
    <x v="81"/>
    <x v="1"/>
    <x v="0"/>
    <x v="0"/>
    <x v="0"/>
    <x v="3"/>
    <n v="3"/>
    <n v="13"/>
    <x v="1"/>
  </r>
  <r>
    <s v="TX502230"/>
    <x v="2"/>
    <n v="6"/>
    <n v="105.6"/>
    <n v="633.59999999999991"/>
    <x v="81"/>
    <x v="79"/>
    <x v="1"/>
    <x v="0"/>
    <x v="0"/>
    <x v="0"/>
    <x v="3"/>
    <n v="0"/>
    <n v="13"/>
    <x v="1"/>
  </r>
  <r>
    <s v="TX502231"/>
    <x v="18"/>
    <n v="8"/>
    <n v="59.6"/>
    <n v="476.8"/>
    <x v="81"/>
    <x v="79"/>
    <x v="1"/>
    <x v="0"/>
    <x v="2"/>
    <x v="0"/>
    <x v="23"/>
    <n v="0"/>
    <n v="13"/>
    <x v="1"/>
  </r>
  <r>
    <s v="TX502232"/>
    <x v="15"/>
    <n v="3"/>
    <n v="75.400000000000006"/>
    <n v="226.20000000000002"/>
    <x v="81"/>
    <x v="86"/>
    <x v="0"/>
    <x v="0"/>
    <x v="1"/>
    <x v="0"/>
    <x v="7"/>
    <n v="5"/>
    <n v="13"/>
    <x v="0"/>
  </r>
  <r>
    <s v="TX502233"/>
    <x v="7"/>
    <n v="1"/>
    <n v="104.4"/>
    <n v="104.4"/>
    <x v="81"/>
    <x v="77"/>
    <x v="1"/>
    <x v="0"/>
    <x v="0"/>
    <x v="0"/>
    <x v="8"/>
    <n v="1"/>
    <n v="13"/>
    <x v="1"/>
  </r>
  <r>
    <s v="TX502234"/>
    <x v="2"/>
    <n v="10"/>
    <n v="208.2"/>
    <n v="2082"/>
    <x v="81"/>
    <x v="77"/>
    <x v="0"/>
    <x v="0"/>
    <x v="2"/>
    <x v="0"/>
    <x v="8"/>
    <n v="1"/>
    <n v="13"/>
    <x v="0"/>
  </r>
  <r>
    <s v="TX502235"/>
    <x v="6"/>
    <n v="2"/>
    <n v="45"/>
    <n v="90"/>
    <x v="81"/>
    <x v="81"/>
    <x v="1"/>
    <x v="0"/>
    <x v="0"/>
    <x v="0"/>
    <x v="10"/>
    <n v="3"/>
    <n v="13"/>
    <x v="1"/>
  </r>
  <r>
    <s v="TX502236"/>
    <x v="15"/>
    <n v="2"/>
    <n v="20.3"/>
    <n v="40.6"/>
    <x v="82"/>
    <x v="81"/>
    <x v="2"/>
    <x v="1"/>
    <x v="0"/>
    <x v="0"/>
    <x v="11"/>
    <n v="2"/>
    <n v="13"/>
    <x v="2"/>
  </r>
  <r>
    <s v="TX502237"/>
    <x v="2"/>
    <n v="3"/>
    <n v="94.4"/>
    <n v="283.20000000000005"/>
    <x v="82"/>
    <x v="82"/>
    <x v="1"/>
    <x v="0"/>
    <x v="2"/>
    <x v="0"/>
    <x v="11"/>
    <n v="1"/>
    <n v="13"/>
    <x v="1"/>
  </r>
  <r>
    <s v="TX502238"/>
    <x v="9"/>
    <n v="1"/>
    <n v="49"/>
    <n v="49"/>
    <x v="82"/>
    <x v="81"/>
    <x v="1"/>
    <x v="0"/>
    <x v="2"/>
    <x v="0"/>
    <x v="20"/>
    <n v="2"/>
    <n v="13"/>
    <x v="1"/>
  </r>
  <r>
    <s v="TX502239"/>
    <x v="4"/>
    <n v="2"/>
    <n v="27.2"/>
    <n v="54.4"/>
    <x v="82"/>
    <x v="81"/>
    <x v="0"/>
    <x v="0"/>
    <x v="2"/>
    <x v="0"/>
    <x v="1"/>
    <n v="2"/>
    <n v="13"/>
    <x v="0"/>
  </r>
  <r>
    <s v="TX502240"/>
    <x v="2"/>
    <n v="6"/>
    <n v="72.599999999999994"/>
    <n v="435.59999999999997"/>
    <x v="82"/>
    <x v="82"/>
    <x v="1"/>
    <x v="0"/>
    <x v="2"/>
    <x v="0"/>
    <x v="2"/>
    <n v="1"/>
    <n v="13"/>
    <x v="1"/>
  </r>
  <r>
    <s v="TX502241"/>
    <x v="15"/>
    <n v="4"/>
    <n v="62.4"/>
    <n v="249.6"/>
    <x v="82"/>
    <x v="82"/>
    <x v="1"/>
    <x v="0"/>
    <x v="0"/>
    <x v="0"/>
    <x v="3"/>
    <n v="1"/>
    <n v="13"/>
    <x v="1"/>
  </r>
  <r>
    <s v="TX502242"/>
    <x v="8"/>
    <n v="3"/>
    <n v="19.100000000000001"/>
    <n v="57.300000000000004"/>
    <x v="82"/>
    <x v="81"/>
    <x v="0"/>
    <x v="0"/>
    <x v="1"/>
    <x v="0"/>
    <x v="3"/>
    <n v="2"/>
    <n v="13"/>
    <x v="0"/>
  </r>
  <r>
    <s v="TX502243"/>
    <x v="10"/>
    <n v="1"/>
    <n v="29.6"/>
    <n v="29.6"/>
    <x v="82"/>
    <x v="86"/>
    <x v="0"/>
    <x v="0"/>
    <x v="4"/>
    <x v="0"/>
    <x v="3"/>
    <n v="4"/>
    <n v="13"/>
    <x v="0"/>
  </r>
  <r>
    <s v="TX502244"/>
    <x v="8"/>
    <n v="2"/>
    <n v="18.899999999999999"/>
    <n v="37.799999999999997"/>
    <x v="82"/>
    <x v="81"/>
    <x v="1"/>
    <x v="4"/>
    <x v="2"/>
    <x v="0"/>
    <x v="3"/>
    <n v="2"/>
    <n v="13"/>
    <x v="1"/>
  </r>
  <r>
    <s v="TX502245"/>
    <x v="10"/>
    <n v="5"/>
    <n v="41.4"/>
    <n v="207"/>
    <x v="82"/>
    <x v="82"/>
    <x v="0"/>
    <x v="3"/>
    <x v="0"/>
    <x v="0"/>
    <x v="3"/>
    <n v="1"/>
    <n v="13"/>
    <x v="0"/>
  </r>
  <r>
    <s v="TX502246"/>
    <x v="2"/>
    <n v="1"/>
    <n v="118.4"/>
    <n v="118.4"/>
    <x v="82"/>
    <x v="82"/>
    <x v="1"/>
    <x v="0"/>
    <x v="2"/>
    <x v="0"/>
    <x v="3"/>
    <n v="1"/>
    <n v="13"/>
    <x v="1"/>
  </r>
  <r>
    <s v="TX502247"/>
    <x v="2"/>
    <n v="2"/>
    <n v="125.3"/>
    <n v="250.6"/>
    <x v="82"/>
    <x v="87"/>
    <x v="1"/>
    <x v="0"/>
    <x v="2"/>
    <x v="0"/>
    <x v="3"/>
    <n v="3"/>
    <n v="13"/>
    <x v="1"/>
  </r>
  <r>
    <s v="TX502248"/>
    <x v="3"/>
    <n v="2"/>
    <n v="85.8"/>
    <n v="171.6"/>
    <x v="82"/>
    <x v="82"/>
    <x v="1"/>
    <x v="1"/>
    <x v="4"/>
    <x v="0"/>
    <x v="3"/>
    <n v="1"/>
    <n v="13"/>
    <x v="1"/>
  </r>
  <r>
    <s v="TX502249"/>
    <x v="6"/>
    <n v="1"/>
    <n v="44.2"/>
    <n v="44.2"/>
    <x v="82"/>
    <x v="87"/>
    <x v="0"/>
    <x v="1"/>
    <x v="0"/>
    <x v="0"/>
    <x v="3"/>
    <n v="3"/>
    <n v="13"/>
    <x v="0"/>
  </r>
  <r>
    <s v="TX502250"/>
    <x v="5"/>
    <n v="4"/>
    <n v="74.099999999999994"/>
    <n v="296.39999999999998"/>
    <x v="82"/>
    <x v="81"/>
    <x v="1"/>
    <x v="0"/>
    <x v="0"/>
    <x v="0"/>
    <x v="3"/>
    <n v="2"/>
    <n v="13"/>
    <x v="1"/>
  </r>
  <r>
    <s v="TX502251"/>
    <x v="8"/>
    <n v="1"/>
    <n v="33.799999999999997"/>
    <n v="33.799999999999997"/>
    <x v="82"/>
    <x v="82"/>
    <x v="1"/>
    <x v="2"/>
    <x v="2"/>
    <x v="0"/>
    <x v="24"/>
    <n v="1"/>
    <n v="13"/>
    <x v="1"/>
  </r>
  <r>
    <s v="TX502252"/>
    <x v="1"/>
    <n v="2"/>
    <n v="39.1"/>
    <n v="78.2"/>
    <x v="82"/>
    <x v="82"/>
    <x v="0"/>
    <x v="0"/>
    <x v="1"/>
    <x v="0"/>
    <x v="24"/>
    <n v="1"/>
    <n v="13"/>
    <x v="0"/>
  </r>
  <r>
    <s v="TX502253"/>
    <x v="0"/>
    <n v="1"/>
    <n v="37.200000000000003"/>
    <n v="37.200000000000003"/>
    <x v="82"/>
    <x v="82"/>
    <x v="0"/>
    <x v="0"/>
    <x v="1"/>
    <x v="0"/>
    <x v="16"/>
    <n v="1"/>
    <n v="13"/>
    <x v="0"/>
  </r>
  <r>
    <s v="TX502254"/>
    <x v="15"/>
    <n v="3"/>
    <n v="33.9"/>
    <n v="101.69999999999999"/>
    <x v="82"/>
    <x v="81"/>
    <x v="0"/>
    <x v="2"/>
    <x v="0"/>
    <x v="0"/>
    <x v="6"/>
    <n v="2"/>
    <n v="13"/>
    <x v="0"/>
  </r>
  <r>
    <s v="TX502255"/>
    <x v="7"/>
    <n v="15"/>
    <n v="73.3"/>
    <n v="1099.5"/>
    <x v="82"/>
    <x v="87"/>
    <x v="1"/>
    <x v="2"/>
    <x v="1"/>
    <x v="0"/>
    <x v="8"/>
    <n v="3"/>
    <n v="13"/>
    <x v="1"/>
  </r>
  <r>
    <s v="TX502256"/>
    <x v="8"/>
    <n v="4"/>
    <n v="35"/>
    <n v="140"/>
    <x v="82"/>
    <x v="81"/>
    <x v="1"/>
    <x v="1"/>
    <x v="0"/>
    <x v="0"/>
    <x v="8"/>
    <n v="2"/>
    <n v="13"/>
    <x v="1"/>
  </r>
  <r>
    <s v="TX502257"/>
    <x v="0"/>
    <n v="3"/>
    <n v="22.2"/>
    <n v="66.599999999999994"/>
    <x v="82"/>
    <x v="82"/>
    <x v="0"/>
    <x v="1"/>
    <x v="0"/>
    <x v="0"/>
    <x v="17"/>
    <n v="1"/>
    <n v="13"/>
    <x v="0"/>
  </r>
  <r>
    <s v="TX502258"/>
    <x v="10"/>
    <n v="1"/>
    <n v="32.4"/>
    <n v="32.4"/>
    <x v="82"/>
    <x v="82"/>
    <x v="1"/>
    <x v="0"/>
    <x v="0"/>
    <x v="0"/>
    <x v="11"/>
    <n v="1"/>
    <n v="13"/>
    <x v="1"/>
  </r>
  <r>
    <s v="TX502259"/>
    <x v="5"/>
    <n v="3"/>
    <n v="88.4"/>
    <n v="265.20000000000005"/>
    <x v="83"/>
    <x v="87"/>
    <x v="1"/>
    <x v="1"/>
    <x v="1"/>
    <x v="0"/>
    <x v="11"/>
    <n v="2"/>
    <n v="13"/>
    <x v="1"/>
  </r>
  <r>
    <s v="TX502260"/>
    <x v="5"/>
    <n v="16"/>
    <n v="30.5"/>
    <n v="488"/>
    <x v="83"/>
    <x v="81"/>
    <x v="1"/>
    <x v="2"/>
    <x v="0"/>
    <x v="0"/>
    <x v="11"/>
    <n v="1"/>
    <n v="13"/>
    <x v="1"/>
  </r>
  <r>
    <s v="TX502261"/>
    <x v="1"/>
    <n v="6"/>
    <n v="38.1"/>
    <n v="228.60000000000002"/>
    <x v="83"/>
    <x v="87"/>
    <x v="1"/>
    <x v="0"/>
    <x v="1"/>
    <x v="0"/>
    <x v="11"/>
    <n v="2"/>
    <n v="13"/>
    <x v="1"/>
  </r>
  <r>
    <s v="TX502262"/>
    <x v="10"/>
    <n v="5"/>
    <n v="37.6"/>
    <n v="188"/>
    <x v="83"/>
    <x v="90"/>
    <x v="0"/>
    <x v="0"/>
    <x v="0"/>
    <x v="0"/>
    <x v="11"/>
    <n v="4"/>
    <n v="13"/>
    <x v="0"/>
  </r>
  <r>
    <s v="TX502263"/>
    <x v="15"/>
    <n v="2"/>
    <n v="31.4"/>
    <n v="62.8"/>
    <x v="83"/>
    <x v="81"/>
    <x v="0"/>
    <x v="0"/>
    <x v="2"/>
    <x v="0"/>
    <x v="11"/>
    <n v="1"/>
    <n v="13"/>
    <x v="0"/>
  </r>
  <r>
    <s v="TX502264"/>
    <x v="6"/>
    <n v="2"/>
    <n v="61.5"/>
    <n v="123"/>
    <x v="83"/>
    <x v="81"/>
    <x v="0"/>
    <x v="3"/>
    <x v="0"/>
    <x v="0"/>
    <x v="31"/>
    <n v="1"/>
    <n v="13"/>
    <x v="0"/>
  </r>
  <r>
    <s v="TX502265"/>
    <x v="6"/>
    <n v="1"/>
    <n v="72.599999999999994"/>
    <n v="72.599999999999994"/>
    <x v="83"/>
    <x v="81"/>
    <x v="0"/>
    <x v="0"/>
    <x v="1"/>
    <x v="0"/>
    <x v="21"/>
    <n v="1"/>
    <n v="13"/>
    <x v="0"/>
  </r>
  <r>
    <s v="TX502266"/>
    <x v="9"/>
    <n v="3"/>
    <n v="26.9"/>
    <n v="80.699999999999989"/>
    <x v="83"/>
    <x v="89"/>
    <x v="3"/>
    <x v="4"/>
    <x v="1"/>
    <x v="0"/>
    <x v="46"/>
    <n v="5"/>
    <n v="13"/>
    <x v="3"/>
  </r>
  <r>
    <s v="TX502267"/>
    <x v="17"/>
    <n v="12"/>
    <n v="29.4"/>
    <n v="352.79999999999995"/>
    <x v="83"/>
    <x v="81"/>
    <x v="1"/>
    <x v="1"/>
    <x v="0"/>
    <x v="0"/>
    <x v="51"/>
    <n v="1"/>
    <n v="13"/>
    <x v="1"/>
  </r>
  <r>
    <s v="TX502268"/>
    <x v="17"/>
    <n v="2"/>
    <n v="42.1"/>
    <n v="84.2"/>
    <x v="83"/>
    <x v="81"/>
    <x v="1"/>
    <x v="3"/>
    <x v="1"/>
    <x v="0"/>
    <x v="1"/>
    <n v="1"/>
    <n v="13"/>
    <x v="1"/>
  </r>
  <r>
    <s v="TX502269"/>
    <x v="5"/>
    <n v="1"/>
    <n v="40.5"/>
    <n v="40.5"/>
    <x v="83"/>
    <x v="81"/>
    <x v="1"/>
    <x v="2"/>
    <x v="1"/>
    <x v="0"/>
    <x v="1"/>
    <n v="1"/>
    <n v="13"/>
    <x v="1"/>
  </r>
  <r>
    <s v="TX502270"/>
    <x v="2"/>
    <n v="4"/>
    <n v="182.3"/>
    <n v="729.2"/>
    <x v="83"/>
    <x v="81"/>
    <x v="1"/>
    <x v="1"/>
    <x v="0"/>
    <x v="0"/>
    <x v="1"/>
    <n v="1"/>
    <n v="13"/>
    <x v="1"/>
  </r>
  <r>
    <s v="TX502271"/>
    <x v="2"/>
    <n v="5"/>
    <n v="157"/>
    <n v="785"/>
    <x v="83"/>
    <x v="86"/>
    <x v="1"/>
    <x v="1"/>
    <x v="2"/>
    <x v="0"/>
    <x v="2"/>
    <n v="3"/>
    <n v="13"/>
    <x v="1"/>
  </r>
  <r>
    <s v="TX502272"/>
    <x v="17"/>
    <n v="5"/>
    <n v="45.2"/>
    <n v="226"/>
    <x v="83"/>
    <x v="86"/>
    <x v="1"/>
    <x v="1"/>
    <x v="0"/>
    <x v="0"/>
    <x v="22"/>
    <n v="3"/>
    <n v="13"/>
    <x v="1"/>
  </r>
  <r>
    <s v="TX502273"/>
    <x v="15"/>
    <n v="4"/>
    <n v="27.4"/>
    <n v="109.6"/>
    <x v="83"/>
    <x v="87"/>
    <x v="1"/>
    <x v="0"/>
    <x v="0"/>
    <x v="0"/>
    <x v="3"/>
    <n v="2"/>
    <n v="13"/>
    <x v="1"/>
  </r>
  <r>
    <s v="TX502274"/>
    <x v="5"/>
    <n v="5"/>
    <n v="34.1"/>
    <n v="170.5"/>
    <x v="83"/>
    <x v="87"/>
    <x v="0"/>
    <x v="0"/>
    <x v="2"/>
    <x v="0"/>
    <x v="3"/>
    <n v="2"/>
    <n v="13"/>
    <x v="0"/>
  </r>
  <r>
    <s v="TX502275"/>
    <x v="0"/>
    <n v="2"/>
    <n v="26"/>
    <n v="52"/>
    <x v="83"/>
    <x v="87"/>
    <x v="0"/>
    <x v="2"/>
    <x v="1"/>
    <x v="0"/>
    <x v="3"/>
    <n v="2"/>
    <n v="13"/>
    <x v="0"/>
  </r>
  <r>
    <s v="TX502276"/>
    <x v="8"/>
    <n v="7"/>
    <n v="19.399999999999999"/>
    <n v="135.79999999999998"/>
    <x v="83"/>
    <x v="87"/>
    <x v="2"/>
    <x v="1"/>
    <x v="1"/>
    <x v="0"/>
    <x v="3"/>
    <n v="2"/>
    <n v="13"/>
    <x v="2"/>
  </r>
  <r>
    <s v="TX502277"/>
    <x v="16"/>
    <n v="3"/>
    <n v="30.3"/>
    <n v="90.9"/>
    <x v="83"/>
    <x v="86"/>
    <x v="1"/>
    <x v="1"/>
    <x v="2"/>
    <x v="0"/>
    <x v="3"/>
    <n v="3"/>
    <n v="13"/>
    <x v="1"/>
  </r>
  <r>
    <s v="TX502278"/>
    <x v="2"/>
    <n v="3"/>
    <n v="101.4"/>
    <n v="304.20000000000005"/>
    <x v="83"/>
    <x v="81"/>
    <x v="0"/>
    <x v="0"/>
    <x v="0"/>
    <x v="0"/>
    <x v="3"/>
    <n v="1"/>
    <n v="13"/>
    <x v="0"/>
  </r>
  <r>
    <s v="TX502279"/>
    <x v="3"/>
    <n v="5"/>
    <n v="55.5"/>
    <n v="277.5"/>
    <x v="83"/>
    <x v="86"/>
    <x v="0"/>
    <x v="1"/>
    <x v="0"/>
    <x v="0"/>
    <x v="24"/>
    <n v="3"/>
    <n v="13"/>
    <x v="0"/>
  </r>
  <r>
    <s v="TX502280"/>
    <x v="8"/>
    <n v="1"/>
    <n v="23.1"/>
    <n v="23.1"/>
    <x v="83"/>
    <x v="81"/>
    <x v="0"/>
    <x v="0"/>
    <x v="0"/>
    <x v="0"/>
    <x v="25"/>
    <n v="1"/>
    <n v="13"/>
    <x v="0"/>
  </r>
  <r>
    <s v="TX502281"/>
    <x v="18"/>
    <n v="2"/>
    <n v="38.9"/>
    <n v="77.8"/>
    <x v="83"/>
    <x v="81"/>
    <x v="0"/>
    <x v="2"/>
    <x v="0"/>
    <x v="0"/>
    <x v="25"/>
    <n v="1"/>
    <n v="13"/>
    <x v="0"/>
  </r>
  <r>
    <s v="TX502282"/>
    <x v="6"/>
    <n v="9"/>
    <n v="116.3"/>
    <n v="1046.7"/>
    <x v="83"/>
    <x v="90"/>
    <x v="1"/>
    <x v="0"/>
    <x v="0"/>
    <x v="0"/>
    <x v="5"/>
    <n v="4"/>
    <n v="13"/>
    <x v="1"/>
  </r>
  <r>
    <s v="TX502283"/>
    <x v="16"/>
    <n v="9"/>
    <n v="64.099999999999994"/>
    <n v="576.9"/>
    <x v="83"/>
    <x v="82"/>
    <x v="1"/>
    <x v="0"/>
    <x v="2"/>
    <x v="0"/>
    <x v="6"/>
    <n v="0"/>
    <n v="13"/>
    <x v="1"/>
  </r>
  <r>
    <s v="TX502284"/>
    <x v="2"/>
    <n v="6"/>
    <n v="109.2"/>
    <n v="655.20000000000005"/>
    <x v="83"/>
    <x v="87"/>
    <x v="0"/>
    <x v="0"/>
    <x v="1"/>
    <x v="0"/>
    <x v="8"/>
    <n v="2"/>
    <n v="13"/>
    <x v="0"/>
  </r>
  <r>
    <s v="TX502285"/>
    <x v="10"/>
    <n v="5"/>
    <n v="23.2"/>
    <n v="116"/>
    <x v="84"/>
    <x v="87"/>
    <x v="0"/>
    <x v="0"/>
    <x v="1"/>
    <x v="0"/>
    <x v="8"/>
    <n v="1"/>
    <n v="13"/>
    <x v="0"/>
  </r>
  <r>
    <s v="TX502286"/>
    <x v="18"/>
    <n v="6"/>
    <n v="81.2"/>
    <n v="487.20000000000005"/>
    <x v="84"/>
    <x v="86"/>
    <x v="0"/>
    <x v="2"/>
    <x v="2"/>
    <x v="0"/>
    <x v="8"/>
    <n v="2"/>
    <n v="13"/>
    <x v="0"/>
  </r>
  <r>
    <s v="TX502287"/>
    <x v="1"/>
    <n v="14"/>
    <n v="35.700000000000003"/>
    <n v="499.80000000000007"/>
    <x v="84"/>
    <x v="87"/>
    <x v="0"/>
    <x v="3"/>
    <x v="0"/>
    <x v="0"/>
    <x v="8"/>
    <n v="1"/>
    <n v="13"/>
    <x v="0"/>
  </r>
  <r>
    <s v="TX502288"/>
    <x v="7"/>
    <n v="2"/>
    <n v="44.5"/>
    <n v="89"/>
    <x v="84"/>
    <x v="90"/>
    <x v="0"/>
    <x v="4"/>
    <x v="0"/>
    <x v="0"/>
    <x v="9"/>
    <n v="3"/>
    <n v="13"/>
    <x v="0"/>
  </r>
  <r>
    <s v="TX502289"/>
    <x v="1"/>
    <n v="5"/>
    <n v="32"/>
    <n v="160"/>
    <x v="84"/>
    <x v="86"/>
    <x v="3"/>
    <x v="1"/>
    <x v="1"/>
    <x v="0"/>
    <x v="9"/>
    <n v="2"/>
    <n v="13"/>
    <x v="3"/>
  </r>
  <r>
    <s v="TX502290"/>
    <x v="8"/>
    <n v="1"/>
    <n v="25.7"/>
    <n v="25.7"/>
    <x v="84"/>
    <x v="87"/>
    <x v="0"/>
    <x v="0"/>
    <x v="0"/>
    <x v="0"/>
    <x v="10"/>
    <n v="1"/>
    <n v="13"/>
    <x v="0"/>
  </r>
  <r>
    <s v="TX502291"/>
    <x v="16"/>
    <n v="3"/>
    <n v="65.599999999999994"/>
    <n v="196.79999999999998"/>
    <x v="84"/>
    <x v="84"/>
    <x v="0"/>
    <x v="0"/>
    <x v="0"/>
    <x v="0"/>
    <x v="11"/>
    <n v="6"/>
    <n v="13"/>
    <x v="0"/>
  </r>
  <r>
    <s v="TX502292"/>
    <x v="1"/>
    <n v="4"/>
    <n v="52.1"/>
    <n v="208.4"/>
    <x v="84"/>
    <x v="87"/>
    <x v="1"/>
    <x v="0"/>
    <x v="2"/>
    <x v="0"/>
    <x v="11"/>
    <n v="1"/>
    <n v="13"/>
    <x v="1"/>
  </r>
  <r>
    <s v="TX502293"/>
    <x v="8"/>
    <n v="1"/>
    <n v="31"/>
    <n v="31"/>
    <x v="84"/>
    <x v="87"/>
    <x v="0"/>
    <x v="0"/>
    <x v="1"/>
    <x v="0"/>
    <x v="19"/>
    <n v="1"/>
    <n v="13"/>
    <x v="0"/>
  </r>
  <r>
    <s v="TX502294"/>
    <x v="8"/>
    <n v="1"/>
    <n v="32"/>
    <n v="32"/>
    <x v="84"/>
    <x v="86"/>
    <x v="3"/>
    <x v="3"/>
    <x v="1"/>
    <x v="0"/>
    <x v="31"/>
    <n v="2"/>
    <n v="13"/>
    <x v="3"/>
  </r>
  <r>
    <s v="TX502295"/>
    <x v="16"/>
    <n v="4"/>
    <n v="58.3"/>
    <n v="233.2"/>
    <x v="84"/>
    <x v="89"/>
    <x v="0"/>
    <x v="1"/>
    <x v="4"/>
    <x v="0"/>
    <x v="20"/>
    <n v="4"/>
    <n v="13"/>
    <x v="0"/>
  </r>
  <r>
    <s v="TX502296"/>
    <x v="8"/>
    <n v="3"/>
    <n v="31"/>
    <n v="93"/>
    <x v="84"/>
    <x v="86"/>
    <x v="1"/>
    <x v="2"/>
    <x v="4"/>
    <x v="0"/>
    <x v="13"/>
    <n v="2"/>
    <n v="13"/>
    <x v="1"/>
  </r>
  <r>
    <s v="TX502297"/>
    <x v="3"/>
    <n v="1"/>
    <n v="40.299999999999997"/>
    <n v="40.299999999999997"/>
    <x v="84"/>
    <x v="87"/>
    <x v="0"/>
    <x v="1"/>
    <x v="2"/>
    <x v="0"/>
    <x v="54"/>
    <n v="1"/>
    <n v="13"/>
    <x v="0"/>
  </r>
  <r>
    <s v="TX502298"/>
    <x v="6"/>
    <n v="3"/>
    <n v="47.3"/>
    <n v="141.89999999999998"/>
    <x v="84"/>
    <x v="86"/>
    <x v="0"/>
    <x v="4"/>
    <x v="2"/>
    <x v="0"/>
    <x v="2"/>
    <n v="2"/>
    <n v="13"/>
    <x v="0"/>
  </r>
  <r>
    <s v="TX502299"/>
    <x v="2"/>
    <n v="1"/>
    <n v="82.8"/>
    <n v="82.8"/>
    <x v="84"/>
    <x v="87"/>
    <x v="0"/>
    <x v="0"/>
    <x v="0"/>
    <x v="0"/>
    <x v="2"/>
    <n v="1"/>
    <n v="13"/>
    <x v="0"/>
  </r>
  <r>
    <s v="TX502300"/>
    <x v="8"/>
    <n v="1"/>
    <n v="18.5"/>
    <n v="18.5"/>
    <x v="84"/>
    <x v="91"/>
    <x v="1"/>
    <x v="0"/>
    <x v="0"/>
    <x v="0"/>
    <x v="44"/>
    <n v="14"/>
    <n v="13"/>
    <x v="1"/>
  </r>
  <r>
    <s v="TX502301"/>
    <x v="3"/>
    <n v="2"/>
    <n v="60.4"/>
    <n v="120.8"/>
    <x v="84"/>
    <x v="87"/>
    <x v="0"/>
    <x v="2"/>
    <x v="0"/>
    <x v="0"/>
    <x v="22"/>
    <n v="1"/>
    <n v="13"/>
    <x v="0"/>
  </r>
  <r>
    <s v="TX502302"/>
    <x v="6"/>
    <n v="5"/>
    <n v="80.2"/>
    <n v="401"/>
    <x v="84"/>
    <x v="92"/>
    <x v="0"/>
    <x v="1"/>
    <x v="1"/>
    <x v="0"/>
    <x v="50"/>
    <n v="7"/>
    <n v="13"/>
    <x v="0"/>
  </r>
  <r>
    <s v="TX502303"/>
    <x v="4"/>
    <n v="1"/>
    <n v="41.5"/>
    <n v="41.5"/>
    <x v="84"/>
    <x v="86"/>
    <x v="0"/>
    <x v="2"/>
    <x v="0"/>
    <x v="0"/>
    <x v="3"/>
    <n v="2"/>
    <n v="13"/>
    <x v="0"/>
  </r>
  <r>
    <s v="TX502304"/>
    <x v="2"/>
    <n v="2"/>
    <n v="83.9"/>
    <n v="167.8"/>
    <x v="84"/>
    <x v="90"/>
    <x v="1"/>
    <x v="0"/>
    <x v="0"/>
    <x v="0"/>
    <x v="3"/>
    <n v="3"/>
    <n v="13"/>
    <x v="1"/>
  </r>
  <r>
    <s v="TX502305"/>
    <x v="8"/>
    <n v="2"/>
    <n v="16.7"/>
    <n v="33.4"/>
    <x v="84"/>
    <x v="89"/>
    <x v="1"/>
    <x v="0"/>
    <x v="1"/>
    <x v="0"/>
    <x v="3"/>
    <n v="4"/>
    <n v="13"/>
    <x v="1"/>
  </r>
  <r>
    <s v="TX502306"/>
    <x v="9"/>
    <n v="2"/>
    <n v="72.900000000000006"/>
    <n v="145.80000000000001"/>
    <x v="84"/>
    <x v="87"/>
    <x v="0"/>
    <x v="2"/>
    <x v="1"/>
    <x v="0"/>
    <x v="3"/>
    <n v="1"/>
    <n v="13"/>
    <x v="0"/>
  </r>
  <r>
    <s v="TX502307"/>
    <x v="5"/>
    <n v="2"/>
    <n v="50.2"/>
    <n v="100.4"/>
    <x v="84"/>
    <x v="86"/>
    <x v="1"/>
    <x v="1"/>
    <x v="2"/>
    <x v="0"/>
    <x v="3"/>
    <n v="2"/>
    <n v="13"/>
    <x v="1"/>
  </r>
  <r>
    <s v="TX502308"/>
    <x v="3"/>
    <n v="2"/>
    <n v="34.200000000000003"/>
    <n v="68.400000000000006"/>
    <x v="84"/>
    <x v="93"/>
    <x v="2"/>
    <x v="1"/>
    <x v="0"/>
    <x v="0"/>
    <x v="3"/>
    <n v="10"/>
    <n v="13"/>
    <x v="2"/>
  </r>
  <r>
    <s v="TX502309"/>
    <x v="5"/>
    <n v="2"/>
    <n v="107.9"/>
    <n v="215.8"/>
    <x v="84"/>
    <x v="81"/>
    <x v="0"/>
    <x v="1"/>
    <x v="4"/>
    <x v="0"/>
    <x v="3"/>
    <n v="0"/>
    <n v="13"/>
    <x v="0"/>
  </r>
  <r>
    <s v="TX502310"/>
    <x v="0"/>
    <n v="3"/>
    <n v="17.5"/>
    <n v="52.5"/>
    <x v="84"/>
    <x v="86"/>
    <x v="0"/>
    <x v="4"/>
    <x v="0"/>
    <x v="0"/>
    <x v="3"/>
    <n v="2"/>
    <n v="13"/>
    <x v="0"/>
  </r>
  <r>
    <s v="TX502311"/>
    <x v="13"/>
    <n v="15"/>
    <n v="44.7"/>
    <n v="670.5"/>
    <x v="84"/>
    <x v="87"/>
    <x v="0"/>
    <x v="0"/>
    <x v="1"/>
    <x v="0"/>
    <x v="3"/>
    <n v="1"/>
    <n v="13"/>
    <x v="0"/>
  </r>
  <r>
    <s v="TX502312"/>
    <x v="12"/>
    <n v="6"/>
    <n v="92.7"/>
    <n v="556.20000000000005"/>
    <x v="84"/>
    <x v="86"/>
    <x v="1"/>
    <x v="2"/>
    <x v="1"/>
    <x v="0"/>
    <x v="3"/>
    <n v="2"/>
    <n v="13"/>
    <x v="1"/>
  </r>
  <r>
    <s v="TX502313"/>
    <x v="7"/>
    <n v="3"/>
    <n v="48.8"/>
    <n v="146.39999999999998"/>
    <x v="84"/>
    <x v="86"/>
    <x v="1"/>
    <x v="2"/>
    <x v="0"/>
    <x v="0"/>
    <x v="3"/>
    <n v="2"/>
    <n v="13"/>
    <x v="1"/>
  </r>
  <r>
    <s v="TX502314"/>
    <x v="4"/>
    <n v="16"/>
    <n v="21.3"/>
    <n v="340.8"/>
    <x v="84"/>
    <x v="89"/>
    <x v="1"/>
    <x v="3"/>
    <x v="3"/>
    <x v="0"/>
    <x v="3"/>
    <n v="4"/>
    <n v="13"/>
    <x v="1"/>
  </r>
  <r>
    <s v="TX502315"/>
    <x v="16"/>
    <n v="1"/>
    <n v="52.5"/>
    <n v="52.5"/>
    <x v="84"/>
    <x v="87"/>
    <x v="1"/>
    <x v="0"/>
    <x v="0"/>
    <x v="0"/>
    <x v="3"/>
    <n v="1"/>
    <n v="13"/>
    <x v="1"/>
  </r>
  <r>
    <s v="TX502316"/>
    <x v="1"/>
    <n v="2"/>
    <n v="92.4"/>
    <n v="184.8"/>
    <x v="84"/>
    <x v="84"/>
    <x v="1"/>
    <x v="0"/>
    <x v="2"/>
    <x v="0"/>
    <x v="3"/>
    <n v="6"/>
    <n v="13"/>
    <x v="1"/>
  </r>
  <r>
    <s v="TX502317"/>
    <x v="4"/>
    <n v="11"/>
    <n v="58.3"/>
    <n v="641.29999999999995"/>
    <x v="84"/>
    <x v="86"/>
    <x v="0"/>
    <x v="1"/>
    <x v="2"/>
    <x v="0"/>
    <x v="3"/>
    <n v="2"/>
    <n v="13"/>
    <x v="0"/>
  </r>
  <r>
    <s v="TX502318"/>
    <x v="6"/>
    <n v="23"/>
    <n v="152.6"/>
    <n v="3509.7999999999997"/>
    <x v="85"/>
    <x v="90"/>
    <x v="2"/>
    <x v="0"/>
    <x v="0"/>
    <x v="0"/>
    <x v="3"/>
    <n v="2"/>
    <n v="13"/>
    <x v="2"/>
  </r>
  <r>
    <s v="TX502319"/>
    <x v="8"/>
    <n v="2"/>
    <n v="26"/>
    <n v="52"/>
    <x v="85"/>
    <x v="87"/>
    <x v="2"/>
    <x v="0"/>
    <x v="1"/>
    <x v="0"/>
    <x v="3"/>
    <n v="0"/>
    <n v="13"/>
    <x v="2"/>
  </r>
  <r>
    <s v="TX502320"/>
    <x v="1"/>
    <n v="4"/>
    <n v="33.1"/>
    <n v="132.4"/>
    <x v="85"/>
    <x v="87"/>
    <x v="0"/>
    <x v="2"/>
    <x v="4"/>
    <x v="0"/>
    <x v="5"/>
    <n v="0"/>
    <n v="13"/>
    <x v="0"/>
  </r>
  <r>
    <s v="TX502321"/>
    <x v="18"/>
    <n v="1"/>
    <n v="51.4"/>
    <n v="51.4"/>
    <x v="85"/>
    <x v="90"/>
    <x v="1"/>
    <x v="1"/>
    <x v="1"/>
    <x v="0"/>
    <x v="5"/>
    <n v="2"/>
    <n v="13"/>
    <x v="1"/>
  </r>
  <r>
    <s v="TX502322"/>
    <x v="8"/>
    <n v="2"/>
    <n v="30.2"/>
    <n v="60.4"/>
    <x v="85"/>
    <x v="86"/>
    <x v="1"/>
    <x v="2"/>
    <x v="2"/>
    <x v="0"/>
    <x v="6"/>
    <n v="1"/>
    <n v="13"/>
    <x v="1"/>
  </r>
  <r>
    <s v="TX502323"/>
    <x v="2"/>
    <n v="6"/>
    <n v="97"/>
    <n v="582"/>
    <x v="85"/>
    <x v="88"/>
    <x v="1"/>
    <x v="0"/>
    <x v="2"/>
    <x v="0"/>
    <x v="7"/>
    <n v="4"/>
    <n v="13"/>
    <x v="1"/>
  </r>
  <r>
    <s v="TX502324"/>
    <x v="2"/>
    <n v="1"/>
    <n v="76.900000000000006"/>
    <n v="76.900000000000006"/>
    <x v="85"/>
    <x v="86"/>
    <x v="0"/>
    <x v="1"/>
    <x v="2"/>
    <x v="0"/>
    <x v="8"/>
    <n v="1"/>
    <n v="13"/>
    <x v="0"/>
  </r>
  <r>
    <s v="TX502325"/>
    <x v="7"/>
    <n v="6"/>
    <n v="36.1"/>
    <n v="216.60000000000002"/>
    <x v="85"/>
    <x v="88"/>
    <x v="1"/>
    <x v="0"/>
    <x v="0"/>
    <x v="0"/>
    <x v="8"/>
    <n v="4"/>
    <n v="13"/>
    <x v="1"/>
  </r>
  <r>
    <s v="TX502326"/>
    <x v="1"/>
    <n v="7"/>
    <n v="34.4"/>
    <n v="240.79999999999998"/>
    <x v="85"/>
    <x v="87"/>
    <x v="1"/>
    <x v="2"/>
    <x v="1"/>
    <x v="0"/>
    <x v="11"/>
    <n v="0"/>
    <n v="13"/>
    <x v="1"/>
  </r>
  <r>
    <s v="TX502327"/>
    <x v="1"/>
    <n v="28"/>
    <n v="53.4"/>
    <n v="1495.2"/>
    <x v="85"/>
    <x v="90"/>
    <x v="1"/>
    <x v="1"/>
    <x v="0"/>
    <x v="0"/>
    <x v="18"/>
    <n v="2"/>
    <n v="13"/>
    <x v="1"/>
  </r>
  <r>
    <s v="TX502328"/>
    <x v="2"/>
    <n v="1"/>
    <n v="77.599999999999994"/>
    <n v="77.599999999999994"/>
    <x v="85"/>
    <x v="86"/>
    <x v="1"/>
    <x v="0"/>
    <x v="1"/>
    <x v="0"/>
    <x v="19"/>
    <n v="1"/>
    <n v="13"/>
    <x v="1"/>
  </r>
  <r>
    <s v="TX502329"/>
    <x v="1"/>
    <n v="3"/>
    <n v="71.7"/>
    <n v="215.10000000000002"/>
    <x v="85"/>
    <x v="89"/>
    <x v="1"/>
    <x v="1"/>
    <x v="0"/>
    <x v="0"/>
    <x v="19"/>
    <n v="3"/>
    <n v="13"/>
    <x v="1"/>
  </r>
  <r>
    <s v="TX502330"/>
    <x v="3"/>
    <n v="3"/>
    <n v="80.599999999999994"/>
    <n v="241.79999999999998"/>
    <x v="85"/>
    <x v="86"/>
    <x v="0"/>
    <x v="4"/>
    <x v="1"/>
    <x v="0"/>
    <x v="19"/>
    <n v="1"/>
    <n v="13"/>
    <x v="0"/>
  </r>
  <r>
    <s v="TX502331"/>
    <x v="1"/>
    <n v="15"/>
    <n v="70"/>
    <n v="1050"/>
    <x v="85"/>
    <x v="90"/>
    <x v="0"/>
    <x v="0"/>
    <x v="0"/>
    <x v="0"/>
    <x v="20"/>
    <n v="2"/>
    <n v="13"/>
    <x v="0"/>
  </r>
  <r>
    <s v="TX502332"/>
    <x v="4"/>
    <n v="6"/>
    <n v="27.3"/>
    <n v="163.80000000000001"/>
    <x v="85"/>
    <x v="90"/>
    <x v="1"/>
    <x v="1"/>
    <x v="1"/>
    <x v="0"/>
    <x v="2"/>
    <n v="2"/>
    <n v="13"/>
    <x v="1"/>
  </r>
  <r>
    <s v="TX502333"/>
    <x v="8"/>
    <n v="14"/>
    <n v="37.6"/>
    <n v="526.4"/>
    <x v="85"/>
    <x v="90"/>
    <x v="0"/>
    <x v="1"/>
    <x v="0"/>
    <x v="0"/>
    <x v="3"/>
    <n v="2"/>
    <n v="13"/>
    <x v="0"/>
  </r>
  <r>
    <s v="TX502334"/>
    <x v="5"/>
    <n v="3"/>
    <n v="36.6"/>
    <n v="109.80000000000001"/>
    <x v="85"/>
    <x v="90"/>
    <x v="1"/>
    <x v="4"/>
    <x v="0"/>
    <x v="0"/>
    <x v="3"/>
    <n v="2"/>
    <n v="13"/>
    <x v="1"/>
  </r>
  <r>
    <s v="TX502335"/>
    <x v="13"/>
    <n v="1"/>
    <n v="55.2"/>
    <n v="55.2"/>
    <x v="85"/>
    <x v="90"/>
    <x v="0"/>
    <x v="3"/>
    <x v="0"/>
    <x v="0"/>
    <x v="3"/>
    <n v="2"/>
    <n v="13"/>
    <x v="0"/>
  </r>
  <r>
    <s v="TX502336"/>
    <x v="6"/>
    <n v="5"/>
    <n v="59.9"/>
    <n v="299.5"/>
    <x v="85"/>
    <x v="90"/>
    <x v="0"/>
    <x v="0"/>
    <x v="0"/>
    <x v="0"/>
    <x v="3"/>
    <n v="2"/>
    <n v="13"/>
    <x v="0"/>
  </r>
  <r>
    <s v="TX502337"/>
    <x v="6"/>
    <n v="1"/>
    <n v="44"/>
    <n v="44"/>
    <x v="85"/>
    <x v="86"/>
    <x v="1"/>
    <x v="2"/>
    <x v="2"/>
    <x v="0"/>
    <x v="3"/>
    <n v="1"/>
    <n v="13"/>
    <x v="1"/>
  </r>
  <r>
    <s v="TX502338"/>
    <x v="9"/>
    <n v="2"/>
    <n v="68.7"/>
    <n v="137.4"/>
    <x v="85"/>
    <x v="87"/>
    <x v="0"/>
    <x v="0"/>
    <x v="0"/>
    <x v="0"/>
    <x v="3"/>
    <n v="0"/>
    <n v="13"/>
    <x v="0"/>
  </r>
  <r>
    <s v="TX502339"/>
    <x v="5"/>
    <n v="2"/>
    <n v="61.6"/>
    <n v="123.2"/>
    <x v="85"/>
    <x v="88"/>
    <x v="0"/>
    <x v="3"/>
    <x v="1"/>
    <x v="0"/>
    <x v="3"/>
    <n v="4"/>
    <n v="13"/>
    <x v="0"/>
  </r>
  <r>
    <s v="TX502340"/>
    <x v="7"/>
    <n v="7"/>
    <n v="51.8"/>
    <n v="362.59999999999997"/>
    <x v="85"/>
    <x v="86"/>
    <x v="0"/>
    <x v="0"/>
    <x v="0"/>
    <x v="0"/>
    <x v="3"/>
    <n v="1"/>
    <n v="13"/>
    <x v="0"/>
  </r>
  <r>
    <s v="TX502341"/>
    <x v="8"/>
    <n v="10"/>
    <n v="46.2"/>
    <n v="462"/>
    <x v="85"/>
    <x v="90"/>
    <x v="0"/>
    <x v="1"/>
    <x v="2"/>
    <x v="0"/>
    <x v="3"/>
    <n v="2"/>
    <n v="13"/>
    <x v="0"/>
  </r>
  <r>
    <s v="TX502342"/>
    <x v="0"/>
    <n v="2"/>
    <n v="19.399999999999999"/>
    <n v="38.799999999999997"/>
    <x v="85"/>
    <x v="90"/>
    <x v="1"/>
    <x v="1"/>
    <x v="2"/>
    <x v="0"/>
    <x v="6"/>
    <n v="2"/>
    <n v="13"/>
    <x v="1"/>
  </r>
  <r>
    <s v="TX502343"/>
    <x v="11"/>
    <n v="3"/>
    <n v="52.1"/>
    <n v="156.30000000000001"/>
    <x v="85"/>
    <x v="89"/>
    <x v="0"/>
    <x v="3"/>
    <x v="3"/>
    <x v="0"/>
    <x v="6"/>
    <n v="3"/>
    <n v="13"/>
    <x v="0"/>
  </r>
  <r>
    <s v="TX502344"/>
    <x v="6"/>
    <n v="1"/>
    <n v="74.900000000000006"/>
    <n v="74.900000000000006"/>
    <x v="85"/>
    <x v="90"/>
    <x v="3"/>
    <x v="0"/>
    <x v="0"/>
    <x v="0"/>
    <x v="7"/>
    <n v="2"/>
    <n v="13"/>
    <x v="3"/>
  </r>
  <r>
    <s v="TX502345"/>
    <x v="9"/>
    <n v="7"/>
    <n v="49.6"/>
    <n v="347.2"/>
    <x v="85"/>
    <x v="89"/>
    <x v="1"/>
    <x v="4"/>
    <x v="0"/>
    <x v="0"/>
    <x v="8"/>
    <n v="3"/>
    <n v="13"/>
    <x v="1"/>
  </r>
  <r>
    <s v="TX502346"/>
    <x v="16"/>
    <n v="4"/>
    <n v="82.8"/>
    <n v="331.2"/>
    <x v="86"/>
    <x v="88"/>
    <x v="1"/>
    <x v="4"/>
    <x v="0"/>
    <x v="0"/>
    <x v="8"/>
    <n v="3"/>
    <n v="13"/>
    <x v="1"/>
  </r>
  <r>
    <s v="TX502347"/>
    <x v="2"/>
    <n v="1"/>
    <n v="97.7"/>
    <n v="97.7"/>
    <x v="86"/>
    <x v="90"/>
    <x v="1"/>
    <x v="1"/>
    <x v="0"/>
    <x v="0"/>
    <x v="8"/>
    <n v="1"/>
    <n v="13"/>
    <x v="1"/>
  </r>
  <r>
    <s v="TX502348"/>
    <x v="6"/>
    <n v="5"/>
    <n v="83.6"/>
    <n v="418"/>
    <x v="86"/>
    <x v="90"/>
    <x v="1"/>
    <x v="4"/>
    <x v="0"/>
    <x v="0"/>
    <x v="8"/>
    <n v="1"/>
    <n v="13"/>
    <x v="1"/>
  </r>
  <r>
    <s v="TX502349"/>
    <x v="8"/>
    <n v="5"/>
    <n v="23.5"/>
    <n v="117.5"/>
    <x v="86"/>
    <x v="84"/>
    <x v="3"/>
    <x v="0"/>
    <x v="0"/>
    <x v="0"/>
    <x v="8"/>
    <n v="4"/>
    <n v="13"/>
    <x v="3"/>
  </r>
  <r>
    <s v="TX502350"/>
    <x v="9"/>
    <n v="3"/>
    <n v="44.6"/>
    <n v="133.80000000000001"/>
    <x v="86"/>
    <x v="88"/>
    <x v="1"/>
    <x v="4"/>
    <x v="1"/>
    <x v="0"/>
    <x v="26"/>
    <n v="3"/>
    <n v="13"/>
    <x v="1"/>
  </r>
  <r>
    <s v="TX502351"/>
    <x v="0"/>
    <n v="3"/>
    <n v="20.100000000000001"/>
    <n v="60.300000000000004"/>
    <x v="86"/>
    <x v="89"/>
    <x v="1"/>
    <x v="3"/>
    <x v="4"/>
    <x v="0"/>
    <x v="11"/>
    <n v="2"/>
    <n v="13"/>
    <x v="1"/>
  </r>
  <r>
    <s v="TX502352"/>
    <x v="2"/>
    <n v="5"/>
    <n v="153.6"/>
    <n v="768"/>
    <x v="86"/>
    <x v="90"/>
    <x v="1"/>
    <x v="1"/>
    <x v="2"/>
    <x v="0"/>
    <x v="53"/>
    <n v="1"/>
    <n v="13"/>
    <x v="1"/>
  </r>
  <r>
    <s v="TX502353"/>
    <x v="1"/>
    <n v="2"/>
    <n v="71.8"/>
    <n v="143.6"/>
    <x v="86"/>
    <x v="84"/>
    <x v="1"/>
    <x v="1"/>
    <x v="0"/>
    <x v="0"/>
    <x v="1"/>
    <n v="4"/>
    <n v="13"/>
    <x v="1"/>
  </r>
  <r>
    <s v="TX502354"/>
    <x v="10"/>
    <n v="1"/>
    <n v="64.7"/>
    <n v="64.7"/>
    <x v="86"/>
    <x v="89"/>
    <x v="2"/>
    <x v="0"/>
    <x v="1"/>
    <x v="0"/>
    <x v="1"/>
    <n v="2"/>
    <n v="13"/>
    <x v="2"/>
  </r>
  <r>
    <s v="TX502355"/>
    <x v="9"/>
    <n v="8"/>
    <n v="60.4"/>
    <n v="483.2"/>
    <x v="86"/>
    <x v="89"/>
    <x v="1"/>
    <x v="3"/>
    <x v="2"/>
    <x v="0"/>
    <x v="2"/>
    <n v="2"/>
    <n v="13"/>
    <x v="1"/>
  </r>
  <r>
    <s v="TX502356"/>
    <x v="6"/>
    <n v="4"/>
    <n v="86"/>
    <n v="344"/>
    <x v="86"/>
    <x v="88"/>
    <x v="1"/>
    <x v="2"/>
    <x v="2"/>
    <x v="0"/>
    <x v="22"/>
    <n v="3"/>
    <n v="13"/>
    <x v="1"/>
  </r>
  <r>
    <s v="TX502357"/>
    <x v="12"/>
    <n v="2"/>
    <n v="42.1"/>
    <n v="84.2"/>
    <x v="86"/>
    <x v="90"/>
    <x v="1"/>
    <x v="4"/>
    <x v="1"/>
    <x v="0"/>
    <x v="34"/>
    <n v="1"/>
    <n v="13"/>
    <x v="1"/>
  </r>
  <r>
    <s v="TX502358"/>
    <x v="16"/>
    <n v="9"/>
    <n v="51.1"/>
    <n v="459.90000000000003"/>
    <x v="86"/>
    <x v="90"/>
    <x v="0"/>
    <x v="2"/>
    <x v="1"/>
    <x v="0"/>
    <x v="3"/>
    <n v="1"/>
    <n v="13"/>
    <x v="0"/>
  </r>
  <r>
    <s v="TX502359"/>
    <x v="9"/>
    <n v="4"/>
    <n v="73.8"/>
    <n v="295.2"/>
    <x v="86"/>
    <x v="90"/>
    <x v="0"/>
    <x v="4"/>
    <x v="0"/>
    <x v="0"/>
    <x v="3"/>
    <n v="1"/>
    <n v="13"/>
    <x v="0"/>
  </r>
  <r>
    <s v="TX502360"/>
    <x v="8"/>
    <n v="5"/>
    <n v="27"/>
    <n v="135"/>
    <x v="86"/>
    <x v="88"/>
    <x v="1"/>
    <x v="2"/>
    <x v="2"/>
    <x v="0"/>
    <x v="3"/>
    <n v="3"/>
    <n v="13"/>
    <x v="1"/>
  </r>
  <r>
    <s v="TX502361"/>
    <x v="8"/>
    <n v="6"/>
    <n v="60.1"/>
    <n v="360.6"/>
    <x v="86"/>
    <x v="90"/>
    <x v="0"/>
    <x v="3"/>
    <x v="0"/>
    <x v="0"/>
    <x v="3"/>
    <n v="1"/>
    <n v="13"/>
    <x v="0"/>
  </r>
  <r>
    <s v="TX502362"/>
    <x v="2"/>
    <n v="7"/>
    <n v="94.1"/>
    <n v="658.69999999999993"/>
    <x v="86"/>
    <x v="89"/>
    <x v="1"/>
    <x v="4"/>
    <x v="1"/>
    <x v="0"/>
    <x v="3"/>
    <n v="2"/>
    <n v="13"/>
    <x v="1"/>
  </r>
  <r>
    <s v="TX502363"/>
    <x v="2"/>
    <n v="2"/>
    <n v="124.1"/>
    <n v="248.2"/>
    <x v="86"/>
    <x v="86"/>
    <x v="1"/>
    <x v="2"/>
    <x v="3"/>
    <x v="0"/>
    <x v="43"/>
    <n v="0"/>
    <n v="13"/>
    <x v="1"/>
  </r>
  <r>
    <s v="TX502364"/>
    <x v="8"/>
    <n v="4"/>
    <n v="16.899999999999999"/>
    <n v="67.599999999999994"/>
    <x v="86"/>
    <x v="88"/>
    <x v="0"/>
    <x v="3"/>
    <x v="0"/>
    <x v="0"/>
    <x v="6"/>
    <n v="3"/>
    <n v="13"/>
    <x v="0"/>
  </r>
  <r>
    <s v="TX502365"/>
    <x v="1"/>
    <n v="1"/>
    <n v="36.9"/>
    <n v="36.9"/>
    <x v="86"/>
    <x v="90"/>
    <x v="0"/>
    <x v="0"/>
    <x v="0"/>
    <x v="0"/>
    <x v="6"/>
    <n v="1"/>
    <n v="13"/>
    <x v="0"/>
  </r>
  <r>
    <s v="TX502366"/>
    <x v="9"/>
    <n v="2"/>
    <n v="22.6"/>
    <n v="45.2"/>
    <x v="86"/>
    <x v="94"/>
    <x v="1"/>
    <x v="2"/>
    <x v="1"/>
    <x v="0"/>
    <x v="8"/>
    <n v="13"/>
    <n v="13"/>
    <x v="1"/>
  </r>
  <r>
    <s v="TX502367"/>
    <x v="7"/>
    <n v="4"/>
    <n v="35"/>
    <n v="140"/>
    <x v="86"/>
    <x v="92"/>
    <x v="0"/>
    <x v="3"/>
    <x v="1"/>
    <x v="0"/>
    <x v="8"/>
    <n v="5"/>
    <n v="13"/>
    <x v="0"/>
  </r>
  <r>
    <s v="TX502368"/>
    <x v="9"/>
    <n v="6"/>
    <n v="63.6"/>
    <n v="381.6"/>
    <x v="86"/>
    <x v="95"/>
    <x v="2"/>
    <x v="1"/>
    <x v="2"/>
    <x v="0"/>
    <x v="8"/>
    <n v="7"/>
    <n v="13"/>
    <x v="2"/>
  </r>
  <r>
    <s v="TX502369"/>
    <x v="15"/>
    <n v="4"/>
    <n v="78.599999999999994"/>
    <n v="314.39999999999998"/>
    <x v="86"/>
    <x v="90"/>
    <x v="0"/>
    <x v="4"/>
    <x v="1"/>
    <x v="0"/>
    <x v="8"/>
    <n v="1"/>
    <n v="13"/>
    <x v="0"/>
  </r>
  <r>
    <s v="TX502370"/>
    <x v="3"/>
    <n v="2"/>
    <n v="38.5"/>
    <n v="77"/>
    <x v="86"/>
    <x v="90"/>
    <x v="0"/>
    <x v="0"/>
    <x v="2"/>
    <x v="0"/>
    <x v="8"/>
    <n v="1"/>
    <n v="13"/>
    <x v="0"/>
  </r>
  <r>
    <s v="TX502371"/>
    <x v="8"/>
    <n v="11"/>
    <n v="71.5"/>
    <n v="786.5"/>
    <x v="86"/>
    <x v="90"/>
    <x v="1"/>
    <x v="1"/>
    <x v="4"/>
    <x v="0"/>
    <x v="8"/>
    <n v="1"/>
    <n v="13"/>
    <x v="1"/>
  </r>
  <r>
    <s v="TX502372"/>
    <x v="6"/>
    <n v="4"/>
    <n v="121.4"/>
    <n v="485.6"/>
    <x v="86"/>
    <x v="84"/>
    <x v="0"/>
    <x v="1"/>
    <x v="2"/>
    <x v="0"/>
    <x v="17"/>
    <n v="4"/>
    <n v="13"/>
    <x v="0"/>
  </r>
  <r>
    <s v="TX502373"/>
    <x v="11"/>
    <n v="1"/>
    <n v="40.200000000000003"/>
    <n v="40.200000000000003"/>
    <x v="86"/>
    <x v="88"/>
    <x v="1"/>
    <x v="0"/>
    <x v="2"/>
    <x v="0"/>
    <x v="11"/>
    <n v="3"/>
    <n v="13"/>
    <x v="1"/>
  </r>
  <r>
    <s v="TX502374"/>
    <x v="5"/>
    <n v="5"/>
    <n v="31.9"/>
    <n v="159.5"/>
    <x v="86"/>
    <x v="89"/>
    <x v="1"/>
    <x v="2"/>
    <x v="2"/>
    <x v="0"/>
    <x v="28"/>
    <n v="2"/>
    <n v="13"/>
    <x v="1"/>
  </r>
  <r>
    <s v="TX502375"/>
    <x v="14"/>
    <n v="5"/>
    <n v="15.8"/>
    <n v="79"/>
    <x v="87"/>
    <x v="89"/>
    <x v="0"/>
    <x v="3"/>
    <x v="2"/>
    <x v="0"/>
    <x v="21"/>
    <n v="1"/>
    <n v="13"/>
    <x v="0"/>
  </r>
  <r>
    <s v="TX502376"/>
    <x v="10"/>
    <n v="2"/>
    <n v="25.1"/>
    <n v="50.2"/>
    <x v="87"/>
    <x v="88"/>
    <x v="2"/>
    <x v="1"/>
    <x v="0"/>
    <x v="0"/>
    <x v="21"/>
    <n v="2"/>
    <n v="13"/>
    <x v="2"/>
  </r>
  <r>
    <s v="TX502377"/>
    <x v="1"/>
    <n v="23"/>
    <n v="38.1"/>
    <n v="876.30000000000007"/>
    <x v="87"/>
    <x v="89"/>
    <x v="1"/>
    <x v="4"/>
    <x v="0"/>
    <x v="0"/>
    <x v="1"/>
    <n v="1"/>
    <n v="13"/>
    <x v="1"/>
  </r>
  <r>
    <s v="TX502378"/>
    <x v="3"/>
    <n v="2"/>
    <n v="42.2"/>
    <n v="84.4"/>
    <x v="87"/>
    <x v="88"/>
    <x v="1"/>
    <x v="0"/>
    <x v="2"/>
    <x v="0"/>
    <x v="1"/>
    <n v="2"/>
    <n v="13"/>
    <x v="1"/>
  </r>
  <r>
    <s v="TX502379"/>
    <x v="0"/>
    <n v="10"/>
    <n v="12.3"/>
    <n v="123"/>
    <x v="87"/>
    <x v="89"/>
    <x v="1"/>
    <x v="4"/>
    <x v="0"/>
    <x v="0"/>
    <x v="2"/>
    <n v="1"/>
    <n v="13"/>
    <x v="1"/>
  </r>
  <r>
    <s v="TX502380"/>
    <x v="7"/>
    <n v="1"/>
    <n v="30.2"/>
    <n v="30.2"/>
    <x v="87"/>
    <x v="88"/>
    <x v="1"/>
    <x v="1"/>
    <x v="2"/>
    <x v="0"/>
    <x v="34"/>
    <n v="2"/>
    <n v="13"/>
    <x v="1"/>
  </r>
  <r>
    <s v="TX502381"/>
    <x v="5"/>
    <n v="3"/>
    <n v="25.3"/>
    <n v="75.900000000000006"/>
    <x v="87"/>
    <x v="84"/>
    <x v="1"/>
    <x v="2"/>
    <x v="0"/>
    <x v="0"/>
    <x v="3"/>
    <n v="3"/>
    <n v="13"/>
    <x v="1"/>
  </r>
  <r>
    <s v="TX502382"/>
    <x v="8"/>
    <n v="5"/>
    <n v="29.7"/>
    <n v="148.5"/>
    <x v="87"/>
    <x v="88"/>
    <x v="0"/>
    <x v="3"/>
    <x v="0"/>
    <x v="0"/>
    <x v="3"/>
    <n v="2"/>
    <n v="13"/>
    <x v="0"/>
  </r>
  <r>
    <s v="TX502383"/>
    <x v="9"/>
    <n v="8"/>
    <n v="32.9"/>
    <n v="263.2"/>
    <x v="87"/>
    <x v="89"/>
    <x v="2"/>
    <x v="3"/>
    <x v="2"/>
    <x v="0"/>
    <x v="3"/>
    <n v="1"/>
    <n v="13"/>
    <x v="2"/>
  </r>
  <r>
    <s v="TX502384"/>
    <x v="10"/>
    <n v="2"/>
    <n v="43.6"/>
    <n v="87.2"/>
    <x v="87"/>
    <x v="89"/>
    <x v="0"/>
    <x v="1"/>
    <x v="2"/>
    <x v="0"/>
    <x v="3"/>
    <n v="1"/>
    <n v="13"/>
    <x v="0"/>
  </r>
  <r>
    <s v="TX502385"/>
    <x v="15"/>
    <n v="4"/>
    <n v="78.400000000000006"/>
    <n v="313.60000000000002"/>
    <x v="87"/>
    <x v="89"/>
    <x v="0"/>
    <x v="2"/>
    <x v="0"/>
    <x v="0"/>
    <x v="3"/>
    <n v="1"/>
    <n v="13"/>
    <x v="0"/>
  </r>
  <r>
    <s v="TX502386"/>
    <x v="6"/>
    <n v="2"/>
    <n v="56.5"/>
    <n v="113"/>
    <x v="87"/>
    <x v="92"/>
    <x v="0"/>
    <x v="1"/>
    <x v="1"/>
    <x v="0"/>
    <x v="3"/>
    <n v="4"/>
    <n v="13"/>
    <x v="0"/>
  </r>
  <r>
    <s v="TX502387"/>
    <x v="16"/>
    <n v="1"/>
    <n v="36.700000000000003"/>
    <n v="36.700000000000003"/>
    <x v="87"/>
    <x v="89"/>
    <x v="1"/>
    <x v="0"/>
    <x v="2"/>
    <x v="0"/>
    <x v="3"/>
    <n v="1"/>
    <n v="13"/>
    <x v="1"/>
  </r>
  <r>
    <s v="TX502388"/>
    <x v="2"/>
    <n v="4"/>
    <n v="103.6"/>
    <n v="414.4"/>
    <x v="87"/>
    <x v="91"/>
    <x v="0"/>
    <x v="4"/>
    <x v="2"/>
    <x v="0"/>
    <x v="3"/>
    <n v="11"/>
    <n v="13"/>
    <x v="0"/>
  </r>
  <r>
    <s v="TX502389"/>
    <x v="8"/>
    <n v="6"/>
    <n v="16.2"/>
    <n v="97.199999999999989"/>
    <x v="87"/>
    <x v="92"/>
    <x v="0"/>
    <x v="1"/>
    <x v="2"/>
    <x v="0"/>
    <x v="6"/>
    <n v="4"/>
    <n v="13"/>
    <x v="0"/>
  </r>
  <r>
    <s v="TX502390"/>
    <x v="8"/>
    <n v="2"/>
    <n v="20.2"/>
    <n v="40.4"/>
    <x v="87"/>
    <x v="89"/>
    <x v="1"/>
    <x v="0"/>
    <x v="0"/>
    <x v="0"/>
    <x v="6"/>
    <n v="1"/>
    <n v="13"/>
    <x v="1"/>
  </r>
  <r>
    <s v="TX502391"/>
    <x v="11"/>
    <n v="2"/>
    <n v="26.9"/>
    <n v="53.8"/>
    <x v="87"/>
    <x v="88"/>
    <x v="1"/>
    <x v="2"/>
    <x v="0"/>
    <x v="0"/>
    <x v="6"/>
    <n v="2"/>
    <n v="13"/>
    <x v="1"/>
  </r>
  <r>
    <s v="TX502392"/>
    <x v="1"/>
    <n v="2"/>
    <n v="82.4"/>
    <n v="164.8"/>
    <x v="87"/>
    <x v="84"/>
    <x v="2"/>
    <x v="0"/>
    <x v="0"/>
    <x v="0"/>
    <x v="7"/>
    <n v="3"/>
    <n v="13"/>
    <x v="2"/>
  </r>
  <r>
    <s v="TX502393"/>
    <x v="2"/>
    <n v="2"/>
    <n v="117.8"/>
    <n v="235.6"/>
    <x v="87"/>
    <x v="88"/>
    <x v="0"/>
    <x v="1"/>
    <x v="2"/>
    <x v="0"/>
    <x v="8"/>
    <n v="2"/>
    <n v="13"/>
    <x v="0"/>
  </r>
  <r>
    <s v="TX502394"/>
    <x v="11"/>
    <n v="4"/>
    <n v="36.700000000000003"/>
    <n v="146.80000000000001"/>
    <x v="87"/>
    <x v="89"/>
    <x v="0"/>
    <x v="1"/>
    <x v="0"/>
    <x v="0"/>
    <x v="8"/>
    <n v="1"/>
    <n v="13"/>
    <x v="0"/>
  </r>
  <r>
    <s v="TX502395"/>
    <x v="17"/>
    <n v="3"/>
    <n v="46.8"/>
    <n v="140.39999999999998"/>
    <x v="87"/>
    <x v="89"/>
    <x v="0"/>
    <x v="4"/>
    <x v="2"/>
    <x v="0"/>
    <x v="10"/>
    <n v="1"/>
    <n v="13"/>
    <x v="0"/>
  </r>
  <r>
    <s v="TX502396"/>
    <x v="3"/>
    <n v="1"/>
    <n v="61.4"/>
    <n v="61.4"/>
    <x v="87"/>
    <x v="89"/>
    <x v="0"/>
    <x v="1"/>
    <x v="0"/>
    <x v="0"/>
    <x v="10"/>
    <n v="1"/>
    <n v="13"/>
    <x v="0"/>
  </r>
  <r>
    <s v="TX502397"/>
    <x v="15"/>
    <n v="2"/>
    <n v="22.9"/>
    <n v="45.8"/>
    <x v="87"/>
    <x v="89"/>
    <x v="0"/>
    <x v="0"/>
    <x v="0"/>
    <x v="0"/>
    <x v="11"/>
    <n v="1"/>
    <n v="13"/>
    <x v="0"/>
  </r>
  <r>
    <s v="TX502398"/>
    <x v="10"/>
    <n v="2"/>
    <n v="22.1"/>
    <n v="44.2"/>
    <x v="87"/>
    <x v="89"/>
    <x v="1"/>
    <x v="4"/>
    <x v="0"/>
    <x v="0"/>
    <x v="11"/>
    <n v="1"/>
    <n v="13"/>
    <x v="1"/>
  </r>
  <r>
    <s v="TX502399"/>
    <x v="12"/>
    <n v="2"/>
    <n v="31"/>
    <n v="62"/>
    <x v="87"/>
    <x v="88"/>
    <x v="1"/>
    <x v="2"/>
    <x v="0"/>
    <x v="0"/>
    <x v="18"/>
    <n v="2"/>
    <n v="13"/>
    <x v="1"/>
  </r>
  <r>
    <s v="TX502400"/>
    <x v="18"/>
    <n v="2"/>
    <n v="84.2"/>
    <n v="168.4"/>
    <x v="87"/>
    <x v="88"/>
    <x v="0"/>
    <x v="2"/>
    <x v="2"/>
    <x v="0"/>
    <x v="13"/>
    <n v="2"/>
    <n v="1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r>
  <r>
    <x v="1"/>
  </r>
  <r>
    <x v="2"/>
  </r>
  <r>
    <x v="3"/>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808F0F-9770-4114-A6B3-AD4F84998314}"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0:D77" firstHeaderRow="1" firstDataRow="1" firstDataCol="0"/>
  <pivotFields count="16">
    <pivotField showAll="0"/>
    <pivotField showAll="0"/>
    <pivotField showAll="0"/>
    <pivotField showAll="0"/>
    <pivotField showAll="0"/>
    <pivotField numFmtId="15" showAll="0"/>
    <pivotField numFmtId="15" showAll="0"/>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pivotField showAll="0">
      <items count="5">
        <item x="1"/>
        <item x="0"/>
        <item x="3"/>
        <item x="2"/>
        <item t="default"/>
      </items>
    </pivotField>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B173D4-B45C-4807-874D-E785032AA631}" name="PivotTable7"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61:J78" firstHeaderRow="1" firstDataRow="1" firstDataCol="0"/>
  <pivotFields count="16">
    <pivotField showAll="0"/>
    <pivotField showAll="0"/>
    <pivotField showAll="0"/>
    <pivotField showAll="0"/>
    <pivotField showAll="0"/>
    <pivotField numFmtId="15" showAll="0"/>
    <pivotField numFmtId="15" showAll="0"/>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pivotField showAll="0">
      <items count="5">
        <item x="1"/>
        <item x="0"/>
        <item x="3"/>
        <item x="2"/>
        <item t="default"/>
      </items>
    </pivotField>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DF7150-8A7A-48ED-B0E7-FE485A12F81A}" name="PivotTable10"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G80:H84" firstHeaderRow="1" firstDataRow="1" firstDataCol="1"/>
  <pivotFields count="16">
    <pivotField showAll="0"/>
    <pivotField showAll="0">
      <items count="21">
        <item x="14"/>
        <item x="10"/>
        <item x="12"/>
        <item x="15"/>
        <item x="4"/>
        <item x="7"/>
        <item x="6"/>
        <item x="19"/>
        <item x="18"/>
        <item x="11"/>
        <item x="17"/>
        <item x="5"/>
        <item x="0"/>
        <item x="2"/>
        <item x="9"/>
        <item x="16"/>
        <item x="1"/>
        <item x="13"/>
        <item x="8"/>
        <item x="3"/>
        <item t="default"/>
      </items>
    </pivotField>
    <pivotField showAll="0"/>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h="1" x="2"/>
        <item h="1" x="1"/>
        <item x="0"/>
        <item h="1" x="3"/>
        <item t="default"/>
      </items>
    </pivotField>
    <pivotField showAll="0">
      <items count="6">
        <item x="0"/>
        <item x="3"/>
        <item x="4"/>
        <item x="2"/>
        <item x="1"/>
        <item t="default"/>
      </items>
    </pivotField>
    <pivotField showAll="0">
      <items count="6">
        <item x="3"/>
        <item x="4"/>
        <item x="1"/>
        <item x="0"/>
        <item x="2"/>
        <item t="default"/>
      </items>
    </pivotField>
    <pivotField showAll="0"/>
    <pivotField showAll="0"/>
    <pivotField dataField="1" showAll="0"/>
    <pivotField showAll="0"/>
    <pivotField showAll="0">
      <items count="5">
        <item x="1"/>
        <item x="0"/>
        <item x="3"/>
        <item x="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5"/>
    <field x="5"/>
  </rowFields>
  <rowItems count="4">
    <i>
      <x v="1"/>
    </i>
    <i>
      <x v="2"/>
    </i>
    <i>
      <x v="3"/>
    </i>
    <i t="grand">
      <x/>
    </i>
  </rowItems>
  <colItems count="1">
    <i/>
  </colItems>
  <dataFields count="1">
    <dataField name="Average Delivery's By Months" fld="12" baseField="15"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A04D42-AFA1-4B45-8907-C8A47EE09ABD}"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3:B7" firstHeaderRow="1" firstDataRow="1" firstDataCol="1"/>
  <pivotFields count="16">
    <pivotField showAll="0"/>
    <pivotField showAll="0"/>
    <pivotField showAll="0"/>
    <pivotField showAll="0"/>
    <pivotField dataField="1"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h="1" x="2"/>
        <item h="1" x="1"/>
        <item x="0"/>
        <item h="1" x="3"/>
        <item t="default"/>
      </items>
    </pivotField>
    <pivotField showAll="0">
      <items count="6">
        <item x="0"/>
        <item x="3"/>
        <item x="4"/>
        <item x="2"/>
        <item x="1"/>
        <item t="default"/>
      </items>
    </pivotField>
    <pivotField showAll="0">
      <items count="6">
        <item x="3"/>
        <item x="4"/>
        <item x="1"/>
        <item x="0"/>
        <item x="2"/>
        <item t="default"/>
      </items>
    </pivotField>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items count="5">
        <item x="1"/>
        <item x="0"/>
        <item x="3"/>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5"/>
  </rowFields>
  <rowItems count="4">
    <i>
      <x v="1"/>
    </i>
    <i>
      <x v="2"/>
    </i>
    <i>
      <x v="3"/>
    </i>
    <i t="grand">
      <x/>
    </i>
  </rowItems>
  <colItems count="1">
    <i/>
  </colItems>
  <dataFields count="1">
    <dataField name="Sales Trend Over Time" fld="4" baseField="0" baseItem="16"/>
  </dataFields>
  <chartFormats count="2">
    <chartFormat chart="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B54495-3A46-45AF-9622-8B8684EED637}"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48:C54" firstHeaderRow="1" firstDataRow="1" firstDataCol="1"/>
  <pivotFields count="16">
    <pivotField showAll="0"/>
    <pivotField showAll="0"/>
    <pivotField dataField="1" showAll="0"/>
    <pivotField showAll="0"/>
    <pivotField showAll="0"/>
    <pivotField numFmtId="15" showAll="0"/>
    <pivotField numFmtId="15" showAll="0"/>
    <pivotField showAll="0"/>
    <pivotField axis="axisRow" showAll="0">
      <items count="6">
        <item x="0"/>
        <item x="3"/>
        <item x="4"/>
        <item x="2"/>
        <item x="1"/>
        <item t="default"/>
      </items>
    </pivotField>
    <pivotField showAll="0">
      <items count="6">
        <item x="3"/>
        <item x="4"/>
        <item x="1"/>
        <item x="0"/>
        <item x="2"/>
        <item t="default"/>
      </items>
    </pivotField>
    <pivotField showAll="0"/>
    <pivotField showAll="0"/>
    <pivotField showAll="0"/>
    <pivotField showAll="0"/>
    <pivotField showAll="0">
      <items count="5">
        <item x="1"/>
        <item x="0"/>
        <item x="3"/>
        <item x="2"/>
        <item t="default"/>
      </items>
    </pivotField>
    <pivotField showAll="0" defaultSubtotal="0"/>
  </pivotFields>
  <rowFields count="1">
    <field x="8"/>
  </rowFields>
  <rowItems count="6">
    <i>
      <x/>
    </i>
    <i>
      <x v="1"/>
    </i>
    <i>
      <x v="2"/>
    </i>
    <i>
      <x v="3"/>
    </i>
    <i>
      <x v="4"/>
    </i>
    <i t="grand">
      <x/>
    </i>
  </rowItems>
  <colItems count="1">
    <i/>
  </colItems>
  <dataFields count="1">
    <dataField name=" Sales By Order Mode" fld="2" baseField="0" baseItem="16"/>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1"/>
          </reference>
        </references>
      </pivotArea>
    </chartFormat>
    <chartFormat chart="4" format="10">
      <pivotArea type="data" outline="0" fieldPosition="0">
        <references count="2">
          <reference field="4294967294" count="1" selected="0">
            <x v="0"/>
          </reference>
          <reference field="8" count="1" selected="0">
            <x v="2"/>
          </reference>
        </references>
      </pivotArea>
    </chartFormat>
    <chartFormat chart="4" format="11">
      <pivotArea type="data" outline="0" fieldPosition="0">
        <references count="2">
          <reference field="4294967294" count="1" selected="0">
            <x v="0"/>
          </reference>
          <reference field="8" count="1" selected="0">
            <x v="3"/>
          </reference>
        </references>
      </pivotArea>
    </chartFormat>
    <chartFormat chart="4" format="12">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22346B-1C45-4B12-A146-B3108CB3AFD3}"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60:G77" firstHeaderRow="1" firstDataRow="1" firstDataCol="0"/>
  <pivotFields count="16">
    <pivotField showAll="0"/>
    <pivotField showAll="0"/>
    <pivotField showAll="0"/>
    <pivotField showAll="0"/>
    <pivotField showAll="0"/>
    <pivotField numFmtId="15" showAll="0"/>
    <pivotField numFmtId="15" showAll="0"/>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pivotField showAll="0">
      <items count="5">
        <item x="1"/>
        <item x="0"/>
        <item x="3"/>
        <item x="2"/>
        <item t="default"/>
      </items>
    </pivotField>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CF46DA-763A-405E-AB6B-DF98E0E92DED}" name="PivotTable1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139:H141" firstHeaderRow="1" firstDataRow="1" firstDataCol="1"/>
  <pivotFields count="16">
    <pivotField showAll="0"/>
    <pivotField showAll="0">
      <items count="21">
        <item x="14"/>
        <item x="10"/>
        <item x="12"/>
        <item x="15"/>
        <item x="4"/>
        <item x="7"/>
        <item x="6"/>
        <item x="19"/>
        <item x="18"/>
        <item x="11"/>
        <item x="17"/>
        <item x="5"/>
        <item x="0"/>
        <item x="2"/>
        <item x="9"/>
        <item x="16"/>
        <item x="1"/>
        <item x="13"/>
        <item x="8"/>
        <item x="3"/>
        <item t="default"/>
      </items>
    </pivotField>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Row" showAll="0">
      <items count="5">
        <item h="1" x="2"/>
        <item h="1" x="1"/>
        <item x="0"/>
        <item h="1" x="3"/>
        <item t="default"/>
      </items>
    </pivotField>
    <pivotField showAll="0">
      <items count="6">
        <item x="0"/>
        <item x="3"/>
        <item x="4"/>
        <item x="2"/>
        <item x="1"/>
        <item t="default"/>
      </items>
    </pivotField>
    <pivotField showAll="0">
      <items count="6">
        <item x="3"/>
        <item x="4"/>
        <item x="1"/>
        <item x="0"/>
        <item x="2"/>
        <item t="default"/>
      </items>
    </pivotField>
    <pivotField showAll="0">
      <items count="2">
        <item x="0"/>
        <item t="default"/>
      </items>
    </pivotField>
    <pivotField showAll="0"/>
    <pivotField dataField="1" showAll="0"/>
    <pivotField showAll="0"/>
    <pivotField showAll="0">
      <items count="5">
        <item x="1"/>
        <item x="0"/>
        <item x="3"/>
        <item x="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2">
    <i>
      <x v="2"/>
    </i>
    <i t="grand">
      <x/>
    </i>
  </rowItems>
  <colItems count="1">
    <i/>
  </colItems>
  <dataFields count="1">
    <dataField name="Sum of Days to Deliver" fld="12" baseField="0" baseItem="0"/>
  </dataFields>
  <chartFormats count="2">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FB3AB6-C54A-4C37-AED4-5D7F7F8BDE3B}" name="PivotTable9"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09:F115" firstHeaderRow="1" firstDataRow="1" firstDataCol="1"/>
  <pivotFields count="1">
    <pivotField axis="axisRow" showAll="0">
      <items count="6">
        <item x="2"/>
        <item x="0"/>
        <item x="1"/>
        <item x="3"/>
        <item x="4"/>
        <item t="default"/>
      </items>
    </pivotField>
  </pivotFields>
  <rowFields count="1">
    <field x="0"/>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AE0375-0826-473D-8617-F53F1239C256}"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B36:C41" firstHeaderRow="1" firstDataRow="1" firstDataCol="1"/>
  <pivotFields count="16">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2"/>
        <item x="1"/>
        <item x="0"/>
        <item x="3"/>
        <item t="default"/>
      </items>
    </pivotField>
    <pivotField showAll="0">
      <items count="6">
        <item x="0"/>
        <item x="3"/>
        <item x="4"/>
        <item x="2"/>
        <item x="1"/>
        <item t="default"/>
      </items>
    </pivotField>
    <pivotField showAll="0">
      <items count="6">
        <item x="3"/>
        <item x="4"/>
        <item x="1"/>
        <item x="0"/>
        <item x="2"/>
        <item t="default"/>
      </items>
    </pivotField>
    <pivotField showAll="0">
      <items count="2">
        <item x="0"/>
        <item t="default"/>
      </items>
    </pivotField>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axis="axisRow" showAll="0">
      <items count="5">
        <item x="1"/>
        <item x="0"/>
        <item x="3"/>
        <item x="2"/>
        <item t="default"/>
      </items>
    </pivotField>
    <pivotField showAll="0" defaultSubtotal="0"/>
  </pivotFields>
  <rowFields count="1">
    <field x="14"/>
  </rowFields>
  <rowItems count="5">
    <i>
      <x/>
    </i>
    <i>
      <x v="1"/>
    </i>
    <i>
      <x v="2"/>
    </i>
    <i>
      <x v="3"/>
    </i>
    <i t="grand">
      <x/>
    </i>
  </rowItems>
  <colItems count="1">
    <i/>
  </colItems>
  <dataFields count="1">
    <dataField name="Sales by Gender" fld="2" baseField="0" baseItem="16"/>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7B4C9E-D180-4E83-80A5-23C14B82AFA6}" name="PivotTable1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C116:D127" firstHeaderRow="1" firstDataRow="1" firstDataCol="1"/>
  <pivotFields count="16">
    <pivotField showAll="0"/>
    <pivotField axis="axisRow" showAll="0" measureFilter="1">
      <items count="21">
        <item x="14"/>
        <item x="10"/>
        <item x="12"/>
        <item x="15"/>
        <item x="4"/>
        <item x="7"/>
        <item x="6"/>
        <item x="19"/>
        <item x="18"/>
        <item x="11"/>
        <item x="17"/>
        <item x="5"/>
        <item x="0"/>
        <item x="2"/>
        <item x="9"/>
        <item x="16"/>
        <item x="1"/>
        <item x="13"/>
        <item x="8"/>
        <item x="3"/>
        <item t="default"/>
      </items>
    </pivotField>
    <pivotField showAll="0"/>
    <pivotField showAll="0"/>
    <pivotField dataField="1" showAll="0"/>
    <pivotField numFmtId="15" showAll="0"/>
    <pivotField numFmtId="15" showAll="0"/>
    <pivotField showAll="0">
      <items count="5">
        <item h="1" x="2"/>
        <item h="1" x="1"/>
        <item x="0"/>
        <item h="1" x="3"/>
        <item t="default"/>
      </items>
    </pivotField>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pivotField showAll="0">
      <items count="5">
        <item x="1"/>
        <item x="0"/>
        <item x="3"/>
        <item x="2"/>
        <item t="default"/>
      </items>
    </pivotField>
    <pivotField showAll="0" defaultSubtotal="0"/>
  </pivotFields>
  <rowFields count="1">
    <field x="1"/>
  </rowFields>
  <rowItems count="11">
    <i>
      <x v="1"/>
    </i>
    <i>
      <x v="3"/>
    </i>
    <i>
      <x v="5"/>
    </i>
    <i>
      <x v="6"/>
    </i>
    <i>
      <x v="8"/>
    </i>
    <i>
      <x v="11"/>
    </i>
    <i>
      <x v="13"/>
    </i>
    <i>
      <x v="14"/>
    </i>
    <i>
      <x v="16"/>
    </i>
    <i>
      <x v="18"/>
    </i>
    <i t="grand">
      <x/>
    </i>
  </rowItems>
  <colItems count="1">
    <i/>
  </colItems>
  <dataFields count="1">
    <dataField name="Sum of Amount" fld="4" baseField="0" baseItem="0"/>
  </dataFields>
  <chartFormats count="26">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1"/>
          </reference>
        </references>
      </pivotArea>
    </chartFormat>
    <chartFormat chart="4" format="14">
      <pivotArea type="data" outline="0" fieldPosition="0">
        <references count="2">
          <reference field="4294967294" count="1" selected="0">
            <x v="0"/>
          </reference>
          <reference field="1" count="1" selected="0">
            <x v="2"/>
          </reference>
        </references>
      </pivotArea>
    </chartFormat>
    <chartFormat chart="4" format="15">
      <pivotArea type="data" outline="0" fieldPosition="0">
        <references count="2">
          <reference field="4294967294" count="1" selected="0">
            <x v="0"/>
          </reference>
          <reference field="1" count="1" selected="0">
            <x v="5"/>
          </reference>
        </references>
      </pivotArea>
    </chartFormat>
    <chartFormat chart="4" format="16">
      <pivotArea type="data" outline="0" fieldPosition="0">
        <references count="2">
          <reference field="4294967294" count="1" selected="0">
            <x v="0"/>
          </reference>
          <reference field="1" count="1" selected="0">
            <x v="6"/>
          </reference>
        </references>
      </pivotArea>
    </chartFormat>
    <chartFormat chart="4" format="17">
      <pivotArea type="data" outline="0" fieldPosition="0">
        <references count="2">
          <reference field="4294967294" count="1" selected="0">
            <x v="0"/>
          </reference>
          <reference field="1" count="1" selected="0">
            <x v="8"/>
          </reference>
        </references>
      </pivotArea>
    </chartFormat>
    <chartFormat chart="4" format="18">
      <pivotArea type="data" outline="0" fieldPosition="0">
        <references count="2">
          <reference field="4294967294" count="1" selected="0">
            <x v="0"/>
          </reference>
          <reference field="1" count="1" selected="0">
            <x v="11"/>
          </reference>
        </references>
      </pivotArea>
    </chartFormat>
    <chartFormat chart="4" format="19">
      <pivotArea type="data" outline="0" fieldPosition="0">
        <references count="2">
          <reference field="4294967294" count="1" selected="0">
            <x v="0"/>
          </reference>
          <reference field="1" count="1" selected="0">
            <x v="13"/>
          </reference>
        </references>
      </pivotArea>
    </chartFormat>
    <chartFormat chart="4" format="20">
      <pivotArea type="data" outline="0" fieldPosition="0">
        <references count="2">
          <reference field="4294967294" count="1" selected="0">
            <x v="0"/>
          </reference>
          <reference field="1" count="1" selected="0">
            <x v="14"/>
          </reference>
        </references>
      </pivotArea>
    </chartFormat>
    <chartFormat chart="4" format="21">
      <pivotArea type="data" outline="0" fieldPosition="0">
        <references count="2">
          <reference field="4294967294" count="1" selected="0">
            <x v="0"/>
          </reference>
          <reference field="1" count="1" selected="0">
            <x v="16"/>
          </reference>
        </references>
      </pivotArea>
    </chartFormat>
    <chartFormat chart="4" format="22">
      <pivotArea type="data" outline="0" fieldPosition="0">
        <references count="2">
          <reference field="4294967294" count="1" selected="0">
            <x v="0"/>
          </reference>
          <reference field="1" count="1" selected="0">
            <x v="18"/>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5"/>
          </reference>
        </references>
      </pivotArea>
    </chartFormat>
    <chartFormat chart="0" format="4">
      <pivotArea type="data" outline="0" fieldPosition="0">
        <references count="2">
          <reference field="4294967294" count="1" selected="0">
            <x v="0"/>
          </reference>
          <reference field="1" count="1" selected="0">
            <x v="6"/>
          </reference>
        </references>
      </pivotArea>
    </chartFormat>
    <chartFormat chart="0" format="5">
      <pivotArea type="data" outline="0" fieldPosition="0">
        <references count="2">
          <reference field="4294967294" count="1" selected="0">
            <x v="0"/>
          </reference>
          <reference field="1" count="1" selected="0">
            <x v="8"/>
          </reference>
        </references>
      </pivotArea>
    </chartFormat>
    <chartFormat chart="0" format="6">
      <pivotArea type="data" outline="0" fieldPosition="0">
        <references count="2">
          <reference field="4294967294" count="1" selected="0">
            <x v="0"/>
          </reference>
          <reference field="1" count="1" selected="0">
            <x v="11"/>
          </reference>
        </references>
      </pivotArea>
    </chartFormat>
    <chartFormat chart="0" format="7">
      <pivotArea type="data" outline="0" fieldPosition="0">
        <references count="2">
          <reference field="4294967294" count="1" selected="0">
            <x v="0"/>
          </reference>
          <reference field="1" count="1" selected="0">
            <x v="13"/>
          </reference>
        </references>
      </pivotArea>
    </chartFormat>
    <chartFormat chart="0" format="8">
      <pivotArea type="data" outline="0" fieldPosition="0">
        <references count="2">
          <reference field="4294967294" count="1" selected="0">
            <x v="0"/>
          </reference>
          <reference field="1" count="1" selected="0">
            <x v="14"/>
          </reference>
        </references>
      </pivotArea>
    </chartFormat>
    <chartFormat chart="0" format="9">
      <pivotArea type="data" outline="0" fieldPosition="0">
        <references count="2">
          <reference field="4294967294" count="1" selected="0">
            <x v="0"/>
          </reference>
          <reference field="1" count="1" selected="0">
            <x v="16"/>
          </reference>
        </references>
      </pivotArea>
    </chartFormat>
    <chartFormat chart="0" format="10">
      <pivotArea type="data" outline="0" fieldPosition="0">
        <references count="2">
          <reference field="4294967294" count="1" selected="0">
            <x v="0"/>
          </reference>
          <reference field="1" count="1" selected="0">
            <x v="18"/>
          </reference>
        </references>
      </pivotArea>
    </chartFormat>
    <chartFormat chart="0" format="11">
      <pivotArea type="data" outline="0" fieldPosition="0">
        <references count="2">
          <reference field="4294967294" count="1" selected="0">
            <x v="0"/>
          </reference>
          <reference field="1" count="1" selected="0">
            <x v="4"/>
          </reference>
        </references>
      </pivotArea>
    </chartFormat>
    <chartFormat chart="0" format="12">
      <pivotArea type="data" outline="0" fieldPosition="0">
        <references count="2">
          <reference field="4294967294" count="1" selected="0">
            <x v="0"/>
          </reference>
          <reference field="1" count="1" selected="0">
            <x v="12"/>
          </reference>
        </references>
      </pivotArea>
    </chartFormat>
    <chartFormat chart="4" format="23">
      <pivotArea type="data" outline="0" fieldPosition="0">
        <references count="2">
          <reference field="4294967294" count="1" selected="0">
            <x v="0"/>
          </reference>
          <reference field="1" count="1" selected="0">
            <x v="4"/>
          </reference>
        </references>
      </pivotArea>
    </chartFormat>
    <chartFormat chart="4" format="24">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59DF73-3A40-4BE8-B20A-6A565315A59C}"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B20:C31" firstHeaderRow="1" firstDataRow="1" firstDataCol="1"/>
  <pivotFields count="16">
    <pivotField showAll="0"/>
    <pivotField axis="axisRow" showAll="0" measureFilter="1">
      <items count="21">
        <item x="14"/>
        <item x="10"/>
        <item x="12"/>
        <item x="15"/>
        <item x="4"/>
        <item x="7"/>
        <item x="6"/>
        <item x="19"/>
        <item x="18"/>
        <item x="11"/>
        <item x="17"/>
        <item x="5"/>
        <item x="0"/>
        <item x="2"/>
        <item x="9"/>
        <item x="16"/>
        <item x="1"/>
        <item x="13"/>
        <item x="8"/>
        <item x="3"/>
        <item t="default"/>
      </items>
    </pivotField>
    <pivotField dataField="1" showAll="0"/>
    <pivotField showAll="0"/>
    <pivotField showAll="0"/>
    <pivotField numFmtId="15" showAll="0"/>
    <pivotField numFmtId="15" showAll="0"/>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pivotField showAll="0">
      <items count="5">
        <item x="1"/>
        <item x="0"/>
        <item x="3"/>
        <item x="2"/>
        <item t="default"/>
      </items>
    </pivotField>
    <pivotField showAll="0" defaultSubtotal="0"/>
  </pivotFields>
  <rowFields count="1">
    <field x="1"/>
  </rowFields>
  <rowItems count="11">
    <i>
      <x v="1"/>
    </i>
    <i>
      <x v="4"/>
    </i>
    <i>
      <x v="5"/>
    </i>
    <i>
      <x v="6"/>
    </i>
    <i>
      <x v="11"/>
    </i>
    <i>
      <x v="12"/>
    </i>
    <i>
      <x v="13"/>
    </i>
    <i>
      <x v="14"/>
    </i>
    <i>
      <x v="16"/>
    </i>
    <i>
      <x v="18"/>
    </i>
    <i t="grand">
      <x/>
    </i>
  </rowItems>
  <colItems count="1">
    <i/>
  </colItems>
  <dataFields count="1">
    <dataField name="Top 10 Best Selling Products" fld="2" baseField="1" baseItem="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1AA9B1-E29B-42AF-A6DF-86A6B4C6C630}" name="PivotTable8"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79:E96" firstHeaderRow="1" firstDataRow="1" firstDataCol="0"/>
  <pivotFields count="16">
    <pivotField showAll="0"/>
    <pivotField showAll="0"/>
    <pivotField showAll="0"/>
    <pivotField showAll="0"/>
    <pivotField showAll="0"/>
    <pivotField numFmtId="15" showAll="0"/>
    <pivotField numFmtId="15" showAll="0"/>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pivotField showAll="0">
      <items count="5">
        <item x="1"/>
        <item x="0"/>
        <item x="3"/>
        <item x="2"/>
        <item t="default"/>
      </items>
    </pivotField>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FEEA6A-EECC-4C1F-B902-9CDCD4638A9D}" name="PivotTable1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C100:D10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Orderd By status" fld="1" baseField="0" baseItem="0"/>
  </dataFields>
  <chartFormats count="6">
    <chartFormat chart="0" format="0" series="1">
      <pivotArea type="data" outline="0" fieldPosition="0">
        <references count="1">
          <reference field="4294967294" count="1" selected="0">
            <x v="0"/>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0" count="1" selected="0">
            <x v="0"/>
          </reference>
        </references>
      </pivotArea>
    </chartFormat>
    <chartFormat chart="3" format="23">
      <pivotArea type="data" outline="0" fieldPosition="0">
        <references count="2">
          <reference field="4294967294" count="1" selected="0">
            <x v="0"/>
          </reference>
          <reference field="0" count="1" selected="0">
            <x v="1"/>
          </reference>
        </references>
      </pivotArea>
    </chartFormat>
    <chartFormat chart="3" format="24">
      <pivotArea type="data" outline="0" fieldPosition="0">
        <references count="2">
          <reference field="4294967294" count="1" selected="0">
            <x v="0"/>
          </reference>
          <reference field="0" count="1" selected="0">
            <x v="2"/>
          </reference>
        </references>
      </pivotArea>
    </chartFormat>
    <chartFormat chart="3" format="25">
      <pivotArea type="data" outline="0" fieldPosition="0">
        <references count="2">
          <reference field="4294967294" count="1" selected="0">
            <x v="0"/>
          </reference>
          <reference field="0"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Orderd By status"/>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3B1985C-0183-4967-8FF1-033282A5319A}" sourceName="Product">
  <pivotTables>
    <pivotTable tabId="5" name="PivotTable10"/>
  </pivotTables>
  <data>
    <tabular pivotCacheId="472514688">
      <items count="20">
        <i x="14" s="1"/>
        <i x="10" s="1"/>
        <i x="12" s="1"/>
        <i x="15" s="1"/>
        <i x="4" s="1"/>
        <i x="7" s="1"/>
        <i x="6" s="1"/>
        <i x="19" s="1"/>
        <i x="18" s="1"/>
        <i x="11" s="1"/>
        <i x="17" s="1"/>
        <i x="5" s="1"/>
        <i x="0" s="1"/>
        <i x="2" s="1"/>
        <i x="9" s="1"/>
        <i x="16" s="1"/>
        <i x="1" s="1"/>
        <i x="13" s="1"/>
        <i x="8"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AE235B4-8D83-4CC1-8FA2-64AEE07479A3}" sourceName="Order Mode">
  <pivotTables>
    <pivotTable tabId="5" name="PivotTable10"/>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12"/>
    <pivotTable tabId="5" name="PivotTable13"/>
  </pivotTables>
  <data>
    <tabular pivotCacheId="472514688">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E0EF08F-176A-42EA-8748-695F71292E03}" sourceName="Gender Value">
  <pivotTables>
    <pivotTable tabId="5" name="PivotTable10"/>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12"/>
    <pivotTable tabId="5" name="PivotTable13"/>
  </pivotTables>
  <data>
    <tabular pivotCacheId="472514688">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 xr10:uid="{29954FD4-06ED-417A-A4EB-8772518BED3B}" sourceName="Rating C">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12"/>
    <pivotTable tabId="5" name="PivotTable13"/>
  </pivotTables>
  <data>
    <tabular pivotCacheId="472514688">
      <items count="5">
        <i x="3" s="1"/>
        <i x="4"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DB9DCB51-8883-4FFA-92E1-989F9F349487}" sourceName="Customer Gender">
  <pivotTables>
    <pivotTable tabId="5" name="PivotTable13"/>
    <pivotTable tabId="5" name="PivotTable1"/>
    <pivotTable tabId="5" name="PivotTable10"/>
    <pivotTable tabId="5" name="PivotTable12"/>
  </pivotTables>
  <data>
    <tabular pivotCacheId="472514688">
      <items count="4">
        <i x="2"/>
        <i x="1"/>
        <i x="0"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1B3BDDF-9A31-41F2-930F-80A75540A448}" sourceName="Order Date">
  <pivotTables>
    <pivotTable tabId="5" name="PivotTable3"/>
  </pivotTables>
  <data>
    <tabular pivotCacheId="472514688">
      <items count="368">
        <i x="41" s="1"/>
        <i x="10" s="1"/>
        <i x="70" s="1"/>
        <i x="42" s="1"/>
        <i x="11" s="1"/>
        <i x="71" s="1"/>
        <i x="43" s="1"/>
        <i x="12" s="1"/>
        <i x="72" s="1"/>
        <i x="44" s="1"/>
        <i x="13" s="1"/>
        <i x="73" s="1"/>
        <i x="45" s="1"/>
        <i x="14" s="1"/>
        <i x="74" s="1"/>
        <i x="46" s="1"/>
        <i x="15" s="1"/>
        <i x="75" s="1"/>
        <i x="47" s="1"/>
        <i x="16" s="1"/>
        <i x="76" s="1"/>
        <i x="48" s="1"/>
        <i x="17" s="1"/>
        <i x="77" s="1"/>
        <i x="49" s="1"/>
        <i x="18" s="1"/>
        <i x="78" s="1"/>
        <i x="50" s="1"/>
        <i x="19" s="1"/>
        <i x="79" s="1"/>
        <i x="32" s="1"/>
        <i x="1" s="1"/>
        <i x="61" s="1"/>
        <i x="51" s="1"/>
        <i x="20" s="1"/>
        <i x="80" s="1"/>
        <i x="52" s="1"/>
        <i x="21" s="1"/>
        <i x="81" s="1"/>
        <i x="53" s="1"/>
        <i x="22" s="1"/>
        <i x="82" s="1"/>
        <i x="54" s="1"/>
        <i x="23" s="1"/>
        <i x="83" s="1"/>
        <i x="55" s="1"/>
        <i x="24" s="1"/>
        <i x="84" s="1"/>
        <i x="56" s="1"/>
        <i x="25" s="1"/>
        <i x="85" s="1"/>
        <i x="57" s="1"/>
        <i x="26" s="1"/>
        <i x="86" s="1"/>
        <i x="58" s="1"/>
        <i x="27" s="1"/>
        <i x="87" s="1"/>
        <i x="59" s="1"/>
        <i x="28" s="1"/>
        <i x="88" s="1"/>
        <i x="29" s="1"/>
        <i x="89" s="1"/>
        <i x="33" s="1"/>
        <i x="2" s="1"/>
        <i x="62" s="1"/>
        <i x="30" s="1"/>
        <i x="31" s="1"/>
        <i x="34" s="1"/>
        <i x="3" s="1"/>
        <i x="63" s="1"/>
        <i x="35" s="1"/>
        <i x="4" s="1"/>
        <i x="64" s="1"/>
        <i x="36" s="1"/>
        <i x="5" s="1"/>
        <i x="65" s="1"/>
        <i x="37" s="1"/>
        <i x="6" s="1"/>
        <i x="66" s="1"/>
        <i x="38" s="1"/>
        <i x="7" s="1"/>
        <i x="67" s="1"/>
        <i x="39" s="1"/>
        <i x="8" s="1"/>
        <i x="68" s="1"/>
        <i x="40" s="1"/>
        <i x="9" s="1"/>
        <i x="69" s="1"/>
        <i x="0" s="1" nd="1"/>
        <i x="367" s="1" nd="1"/>
        <i x="101" s="1" nd="1"/>
        <i x="223" s="1" nd="1"/>
        <i x="345" s="1" nd="1"/>
        <i x="192" s="1" nd="1"/>
        <i x="162" s="1" nd="1"/>
        <i x="131" s="1" nd="1"/>
        <i x="315" s="1" nd="1"/>
        <i x="284" s="1" nd="1"/>
        <i x="254" s="1" nd="1"/>
        <i x="102" s="1" nd="1"/>
        <i x="224" s="1" nd="1"/>
        <i x="346" s="1" nd="1"/>
        <i x="193" s="1" nd="1"/>
        <i x="163" s="1" nd="1"/>
        <i x="132" s="1" nd="1"/>
        <i x="316" s="1" nd="1"/>
        <i x="285" s="1" nd="1"/>
        <i x="255" s="1" nd="1"/>
        <i x="103" s="1" nd="1"/>
        <i x="225" s="1" nd="1"/>
        <i x="347" s="1" nd="1"/>
        <i x="194" s="1" nd="1"/>
        <i x="164" s="1" nd="1"/>
        <i x="133" s="1" nd="1"/>
        <i x="317" s="1" nd="1"/>
        <i x="286" s="1" nd="1"/>
        <i x="256" s="1" nd="1"/>
        <i x="104" s="1" nd="1"/>
        <i x="226" s="1" nd="1"/>
        <i x="348" s="1" nd="1"/>
        <i x="195" s="1" nd="1"/>
        <i x="165" s="1" nd="1"/>
        <i x="134" s="1" nd="1"/>
        <i x="318" s="1" nd="1"/>
        <i x="287" s="1" nd="1"/>
        <i x="257" s="1" nd="1"/>
        <i x="105" s="1" nd="1"/>
        <i x="227" s="1" nd="1"/>
        <i x="349" s="1" nd="1"/>
        <i x="196" s="1" nd="1"/>
        <i x="166" s="1" nd="1"/>
        <i x="135" s="1" nd="1"/>
        <i x="319" s="1" nd="1"/>
        <i x="288" s="1" nd="1"/>
        <i x="258" s="1" nd="1"/>
        <i x="106" s="1" nd="1"/>
        <i x="228" s="1" nd="1"/>
        <i x="350" s="1" nd="1"/>
        <i x="197" s="1" nd="1"/>
        <i x="167" s="1" nd="1"/>
        <i x="136" s="1" nd="1"/>
        <i x="320" s="1" nd="1"/>
        <i x="289" s="1" nd="1"/>
        <i x="259" s="1" nd="1"/>
        <i x="107" s="1" nd="1"/>
        <i x="229" s="1" nd="1"/>
        <i x="351" s="1" nd="1"/>
        <i x="198" s="1" nd="1"/>
        <i x="168" s="1" nd="1"/>
        <i x="137" s="1" nd="1"/>
        <i x="321" s="1" nd="1"/>
        <i x="290" s="1" nd="1"/>
        <i x="260" s="1" nd="1"/>
        <i x="108" s="1" nd="1"/>
        <i x="230" s="1" nd="1"/>
        <i x="352" s="1" nd="1"/>
        <i x="199" s="1" nd="1"/>
        <i x="169" s="1" nd="1"/>
        <i x="138" s="1" nd="1"/>
        <i x="322" s="1" nd="1"/>
        <i x="291" s="1" nd="1"/>
        <i x="261" s="1" nd="1"/>
        <i x="109" s="1" nd="1"/>
        <i x="231" s="1" nd="1"/>
        <i x="353" s="1" nd="1"/>
        <i x="200" s="1" nd="1"/>
        <i x="170" s="1" nd="1"/>
        <i x="139" s="1" nd="1"/>
        <i x="323" s="1" nd="1"/>
        <i x="292" s="1" nd="1"/>
        <i x="262" s="1" nd="1"/>
        <i x="110" s="1" nd="1"/>
        <i x="232" s="1" nd="1"/>
        <i x="354" s="1" nd="1"/>
        <i x="201" s="1" nd="1"/>
        <i x="171" s="1" nd="1"/>
        <i x="140" s="1" nd="1"/>
        <i x="324" s="1" nd="1"/>
        <i x="293" s="1" nd="1"/>
        <i x="263" s="1" nd="1"/>
        <i x="92" s="1" nd="1"/>
        <i x="214" s="1" nd="1"/>
        <i x="336" s="1" nd="1"/>
        <i x="183" s="1" nd="1"/>
        <i x="153" s="1" nd="1"/>
        <i x="122" s="1" nd="1"/>
        <i x="306" s="1" nd="1"/>
        <i x="275" s="1" nd="1"/>
        <i x="245" s="1" nd="1"/>
        <i x="111" s="1" nd="1"/>
        <i x="233" s="1" nd="1"/>
        <i x="355" s="1" nd="1"/>
        <i x="202" s="1" nd="1"/>
        <i x="172" s="1" nd="1"/>
        <i x="141" s="1" nd="1"/>
        <i x="325" s="1" nd="1"/>
        <i x="294" s="1" nd="1"/>
        <i x="264" s="1" nd="1"/>
        <i x="112" s="1" nd="1"/>
        <i x="234" s="1" nd="1"/>
        <i x="356" s="1" nd="1"/>
        <i x="203" s="1" nd="1"/>
        <i x="173" s="1" nd="1"/>
        <i x="142" s="1" nd="1"/>
        <i x="326" s="1" nd="1"/>
        <i x="295" s="1" nd="1"/>
        <i x="265" s="1" nd="1"/>
        <i x="113" s="1" nd="1"/>
        <i x="235" s="1" nd="1"/>
        <i x="357" s="1" nd="1"/>
        <i x="204" s="1" nd="1"/>
        <i x="174" s="1" nd="1"/>
        <i x="143" s="1" nd="1"/>
        <i x="327" s="1" nd="1"/>
        <i x="296" s="1" nd="1"/>
        <i x="266" s="1" nd="1"/>
        <i x="114" s="1" nd="1"/>
        <i x="236" s="1" nd="1"/>
        <i x="358" s="1" nd="1"/>
        <i x="205" s="1" nd="1"/>
        <i x="175" s="1" nd="1"/>
        <i x="144" s="1" nd="1"/>
        <i x="328" s="1" nd="1"/>
        <i x="297" s="1" nd="1"/>
        <i x="267" s="1" nd="1"/>
        <i x="115" s="1" nd="1"/>
        <i x="237" s="1" nd="1"/>
        <i x="359" s="1" nd="1"/>
        <i x="206" s="1" nd="1"/>
        <i x="176" s="1" nd="1"/>
        <i x="145" s="1" nd="1"/>
        <i x="329" s="1" nd="1"/>
        <i x="298" s="1" nd="1"/>
        <i x="268" s="1" nd="1"/>
        <i x="116" s="1" nd="1"/>
        <i x="238" s="1" nd="1"/>
        <i x="360" s="1" nd="1"/>
        <i x="207" s="1" nd="1"/>
        <i x="177" s="1" nd="1"/>
        <i x="146" s="1" nd="1"/>
        <i x="330" s="1" nd="1"/>
        <i x="299" s="1" nd="1"/>
        <i x="269" s="1" nd="1"/>
        <i x="117" s="1" nd="1"/>
        <i x="239" s="1" nd="1"/>
        <i x="361" s="1" nd="1"/>
        <i x="208" s="1" nd="1"/>
        <i x="178" s="1" nd="1"/>
        <i x="147" s="1" nd="1"/>
        <i x="331" s="1" nd="1"/>
        <i x="300" s="1" nd="1"/>
        <i x="270" s="1" nd="1"/>
        <i x="118" s="1" nd="1"/>
        <i x="240" s="1" nd="1"/>
        <i x="362" s="1" nd="1"/>
        <i x="209" s="1" nd="1"/>
        <i x="179" s="1" nd="1"/>
        <i x="148" s="1" nd="1"/>
        <i x="332" s="1" nd="1"/>
        <i x="301" s="1" nd="1"/>
        <i x="271" s="1" nd="1"/>
        <i x="119" s="1" nd="1"/>
        <i x="241" s="1" nd="1"/>
        <i x="363" s="1" nd="1"/>
        <i x="210" s="1" nd="1"/>
        <i x="180" s="1" nd="1"/>
        <i x="149" s="1" nd="1"/>
        <i x="333" s="1" nd="1"/>
        <i x="302" s="1" nd="1"/>
        <i x="272" s="1" nd="1"/>
        <i x="120" s="1" nd="1"/>
        <i x="242" s="1" nd="1"/>
        <i x="364" s="1" nd="1"/>
        <i x="60" s="1" nd="1"/>
        <i x="211" s="1" nd="1"/>
        <i x="181" s="1" nd="1"/>
        <i x="150" s="1" nd="1"/>
        <i x="334" s="1" nd="1"/>
        <i x="303" s="1" nd="1"/>
        <i x="273" s="1" nd="1"/>
        <i x="93" s="1" nd="1"/>
        <i x="215" s="1" nd="1"/>
        <i x="337" s="1" nd="1"/>
        <i x="184" s="1" nd="1"/>
        <i x="154" s="1" nd="1"/>
        <i x="123" s="1" nd="1"/>
        <i x="307" s="1" nd="1"/>
        <i x="276" s="1" nd="1"/>
        <i x="246" s="1" nd="1"/>
        <i x="121" s="1" nd="1"/>
        <i x="243" s="1" nd="1"/>
        <i x="365" s="1" nd="1"/>
        <i x="212" s="1" nd="1"/>
        <i x="182" s="1" nd="1"/>
        <i x="90" s="1" nd="1"/>
        <i x="151" s="1" nd="1"/>
        <i x="335" s="1" nd="1"/>
        <i x="304" s="1" nd="1"/>
        <i x="274" s="1" nd="1"/>
        <i x="244" s="1" nd="1"/>
        <i x="366" s="1" nd="1"/>
        <i x="213" s="1" nd="1"/>
        <i x="91" s="1" nd="1"/>
        <i x="152" s="1" nd="1"/>
        <i x="305" s="1" nd="1"/>
        <i x="94" s="1" nd="1"/>
        <i x="216" s="1" nd="1"/>
        <i x="338" s="1" nd="1"/>
        <i x="185" s="1" nd="1"/>
        <i x="155" s="1" nd="1"/>
        <i x="124" s="1" nd="1"/>
        <i x="308" s="1" nd="1"/>
        <i x="277" s="1" nd="1"/>
        <i x="247" s="1" nd="1"/>
        <i x="95" s="1" nd="1"/>
        <i x="217" s="1" nd="1"/>
        <i x="339" s="1" nd="1"/>
        <i x="186" s="1" nd="1"/>
        <i x="156" s="1" nd="1"/>
        <i x="125" s="1" nd="1"/>
        <i x="309" s="1" nd="1"/>
        <i x="278" s="1" nd="1"/>
        <i x="248" s="1" nd="1"/>
        <i x="96" s="1" nd="1"/>
        <i x="218" s="1" nd="1"/>
        <i x="340" s="1" nd="1"/>
        <i x="187" s="1" nd="1"/>
        <i x="157" s="1" nd="1"/>
        <i x="126" s="1" nd="1"/>
        <i x="310" s="1" nd="1"/>
        <i x="279" s="1" nd="1"/>
        <i x="249" s="1" nd="1"/>
        <i x="97" s="1" nd="1"/>
        <i x="219" s="1" nd="1"/>
        <i x="341" s="1" nd="1"/>
        <i x="188" s="1" nd="1"/>
        <i x="158" s="1" nd="1"/>
        <i x="127" s="1" nd="1"/>
        <i x="311" s="1" nd="1"/>
        <i x="280" s="1" nd="1"/>
        <i x="250" s="1" nd="1"/>
        <i x="98" s="1" nd="1"/>
        <i x="220" s="1" nd="1"/>
        <i x="342" s="1" nd="1"/>
        <i x="189" s="1" nd="1"/>
        <i x="159" s="1" nd="1"/>
        <i x="128" s="1" nd="1"/>
        <i x="312" s="1" nd="1"/>
        <i x="281" s="1" nd="1"/>
        <i x="251" s="1" nd="1"/>
        <i x="99" s="1" nd="1"/>
        <i x="221" s="1" nd="1"/>
        <i x="343" s="1" nd="1"/>
        <i x="190" s="1" nd="1"/>
        <i x="160" s="1" nd="1"/>
        <i x="129" s="1" nd="1"/>
        <i x="313" s="1" nd="1"/>
        <i x="282" s="1" nd="1"/>
        <i x="252" s="1" nd="1"/>
        <i x="100" s="1" nd="1"/>
        <i x="222" s="1" nd="1"/>
        <i x="344" s="1" nd="1"/>
        <i x="191" s="1" nd="1"/>
        <i x="161" s="1" nd="1"/>
        <i x="130" s="1" nd="1"/>
        <i x="314" s="1" nd="1"/>
        <i x="283" s="1" nd="1"/>
        <i x="25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 xr10:uid="{D45B5D08-8490-4E42-9A44-1045515B6B60}" sourceName="Ship Date">
  <pivotTables>
    <pivotTable tabId="5" name="PivotTable3"/>
  </pivotTables>
  <data>
    <tabular pivotCacheId="472514688">
      <items count="96">
        <i x="3" s="1"/>
        <i x="1" s="1"/>
        <i x="2" s="1"/>
        <i x="5" s="1"/>
        <i x="0" s="1"/>
        <i x="4" s="1"/>
        <i x="6" s="1"/>
        <i x="8" s="1"/>
        <i x="9" s="1"/>
        <i x="7" s="1"/>
        <i x="12" s="1"/>
        <i x="14" s="1"/>
        <i x="16" s="1"/>
        <i x="11" s="1"/>
        <i x="15" s="1"/>
        <i x="10" s="1"/>
        <i x="13" s="1"/>
        <i x="18" s="1"/>
        <i x="21" s="1"/>
        <i x="20" s="1"/>
        <i x="24" s="1"/>
        <i x="23" s="1"/>
        <i x="25" s="1"/>
        <i x="17" s="1"/>
        <i x="19" s="1"/>
        <i x="22" s="1"/>
        <i x="29" s="1"/>
        <i x="28" s="1"/>
        <i x="26" s="1"/>
        <i x="27" s="1"/>
        <i x="30" s="1"/>
        <i x="33" s="1"/>
        <i x="34" s="1"/>
        <i x="32" s="1"/>
        <i x="36" s="1"/>
        <i x="38" s="1"/>
        <i x="31" s="1"/>
        <i x="39" s="1"/>
        <i x="35" s="1"/>
        <i x="37" s="1"/>
        <i x="40" s="1"/>
        <i x="44" s="1"/>
        <i x="45" s="1"/>
        <i x="42" s="1"/>
        <i x="48" s="1"/>
        <i x="41" s="1"/>
        <i x="43" s="1"/>
        <i x="50" s="1"/>
        <i x="46" s="1"/>
        <i x="49" s="1"/>
        <i x="47" s="1"/>
        <i x="56" s="1"/>
        <i x="55" s="1"/>
        <i x="54" s="1"/>
        <i x="51" s="1"/>
        <i x="52" s="1"/>
        <i x="53" s="1"/>
        <i x="58" s="1"/>
        <i x="59" s="1"/>
        <i x="57" s="1"/>
        <i x="62" s="1"/>
        <i x="61" s="1"/>
        <i x="63" s="1"/>
        <i x="66" s="1"/>
        <i x="68" s="1"/>
        <i x="70" s="1"/>
        <i x="60" s="1"/>
        <i x="65" s="1"/>
        <i x="71" s="1"/>
        <i x="74" s="1"/>
        <i x="64" s="1"/>
        <i x="67" s="1"/>
        <i x="72" s="1"/>
        <i x="69" s="1"/>
        <i x="76" s="1"/>
        <i x="73" s="1"/>
        <i x="83" s="1"/>
        <i x="78" s="1"/>
        <i x="75" s="1"/>
        <i x="80" s="1"/>
        <i x="79" s="1"/>
        <i x="77" s="1"/>
        <i x="82" s="1"/>
        <i x="81" s="1"/>
        <i x="87" s="1"/>
        <i x="86" s="1"/>
        <i x="90" s="1"/>
        <i x="89" s="1"/>
        <i x="88" s="1"/>
        <i x="84" s="1"/>
        <i x="92" s="1"/>
        <i x="85" s="1"/>
        <i x="95" s="1"/>
        <i x="93" s="1"/>
        <i x="91" s="1"/>
        <i x="9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5B2B10FA-8BF1-438C-9FF1-7731BFF15CF8}" sourceName="County">
  <pivotTables>
    <pivotTable tabId="5" name="PivotTable3"/>
  </pivotTables>
  <data>
    <tabular pivotCacheId="472514688">
      <items count="58">
        <i x="21" s="1"/>
        <i x="0" s="1"/>
        <i x="46" s="1"/>
        <i x="51" s="1"/>
        <i x="14" s="1"/>
        <i x="54" s="1"/>
        <i x="1" s="1"/>
        <i x="57" s="1"/>
        <i x="42" s="1"/>
        <i x="2" s="1"/>
        <i x="27" s="1"/>
        <i x="44" s="1"/>
        <i x="33" s="1"/>
        <i x="15" s="1"/>
        <i x="22" s="1"/>
        <i x="34" s="1"/>
        <i x="50" s="1"/>
        <i x="55" s="1"/>
        <i x="3" s="1"/>
        <i x="37" s="1"/>
        <i x="43" s="1"/>
        <i x="40" s="1"/>
        <i x="29" s="1"/>
        <i x="24" s="1"/>
        <i x="39" s="1"/>
        <i x="47" s="1"/>
        <i x="49" s="1"/>
        <i x="16" s="1"/>
        <i x="4" s="1"/>
        <i x="25" s="1"/>
        <i x="5" s="1"/>
        <i x="35" s="1"/>
        <i x="23" s="1"/>
        <i x="6" s="1"/>
        <i x="36" s="1"/>
        <i x="7" s="1"/>
        <i x="8" s="1"/>
        <i x="17" s="1"/>
        <i x="26" s="1"/>
        <i x="41" s="1"/>
        <i x="9" s="1"/>
        <i x="10" s="1"/>
        <i x="11" s="1"/>
        <i x="32" s="1"/>
        <i x="53" s="1"/>
        <i x="48" s="1"/>
        <i x="30" s="1"/>
        <i x="38" s="1"/>
        <i x="18" s="1"/>
        <i x="19" s="1"/>
        <i x="31" s="1"/>
        <i x="12" s="1"/>
        <i x="45" s="1"/>
        <i x="20" s="1"/>
        <i x="52" s="1"/>
        <i x="13" s="1"/>
        <i x="28" s="1"/>
        <i x="5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9AFE3BA-376D-4590-94A7-67DD688453D2}" sourceName="Product">
  <pivotTables>
    <pivotTable tabId="5" name="PivotTable3"/>
  </pivotTables>
  <data>
    <tabular pivotCacheId="472514688">
      <items count="20">
        <i x="14" s="1"/>
        <i x="10" s="1"/>
        <i x="12" s="1"/>
        <i x="15" s="1"/>
        <i x="4" s="1"/>
        <i x="7" s="1"/>
        <i x="6" s="1"/>
        <i x="19" s="1"/>
        <i x="18" s="1"/>
        <i x="11" s="1"/>
        <i x="17" s="1"/>
        <i x="5" s="1"/>
        <i x="0" s="1"/>
        <i x="2" s="1"/>
        <i x="9" s="1"/>
        <i x="16" s="1"/>
        <i x="1" s="1"/>
        <i x="13" s="1"/>
        <i x="8"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53872AC-F8D3-4E88-AC0E-1380574EF175}" sourceName="State">
  <pivotTables>
    <pivotTable tabId="5" name="PivotTable3"/>
  </pivotTables>
  <data>
    <tabular pivotCacheId="472514688">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EE9FF0FE-4B00-4ABB-8589-2845C8B73AC8}" cache="Slicer_Order_Mode" caption="Order Mode" rowHeight="241300"/>
  <slicer name="Gender Value 1" xr10:uid="{0FCBC7F3-5207-4A29-BAF3-2AD29FECAF77}" cache="Slicer_Gender_Value" caption="Gender Value" rowHeight="241300"/>
  <slicer name="Rating C 1" xr10:uid="{AFCAFE2C-F6F4-405B-9C49-70EFB67C76AC}" cache="Slicer_Rating_C" caption="Rating C"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52DDDA6-67A4-4427-A358-FF70DC367002}" cache="Slicer_Product" caption="Product" rowHeight="241300"/>
  <slicer name="Order Mode" xr10:uid="{2D42DAF4-6B89-4A48-8E7E-382F848AE060}" cache="Slicer_Order_Mode" caption="Order Mode" rowHeight="241300"/>
  <slicer name="Gender Value" xr10:uid="{3AED6962-4137-4AAF-9417-0E4BDFE1EAE5}" cache="Slicer_Gender_Value" caption="Gender Value" rowHeight="241300"/>
  <slicer name="Rating C" xr10:uid="{A0046DAB-EB26-42AC-9839-070BC8544FE5}" cache="Slicer_Rating_C" caption="Rating C" rowHeight="241300"/>
  <slicer name="Customer Gender" xr10:uid="{62176399-D56C-48FD-B7F2-82D1B6C9D47B}" cache="Slicer_Customer_Gender" caption="Customer Gender" rowHeight="241300"/>
  <slicer name="Customer Gender 2" xr10:uid="{CC7985EF-2F9E-45E6-8637-FE2437E64061}" cache="Slicer_Customer_Gender" caption="Customer Gender" rowHeight="241300"/>
  <slicer name="Order Date" xr10:uid="{68DCA06A-6E4A-4EC7-B5E1-5287A3CBAEF7}" cache="Slicer_Order_Date" caption="Order Date" rowHeight="241300"/>
  <slicer name="Ship Date" xr10:uid="{59FBDE0F-0A68-4275-8CD4-0A7F9D914898}" cache="Slicer_Ship_Date" caption="Ship Date" rowHeight="241300"/>
  <slicer name="County" xr10:uid="{CC85BB3E-A835-48D0-89FC-50F12E884E62}" cache="Slicer_County" caption="County" startItem="8" rowHeight="241300"/>
  <slicer name="Product 1" xr10:uid="{F8E5052F-B5FC-4B71-863A-4A0AD5B30A69}" cache="Slicer_Product1" caption="Product" rowHeight="241300"/>
  <slicer name="State" xr10:uid="{8D1FED6C-94B6-4586-942E-80A975FC4505}"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P2401" totalsRowShown="0">
  <tableColumns count="16">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5"/>
    <tableColumn id="7" xr3:uid="{43BB5DBF-46E1-4185-80C0-4361F55A385C}" name="Ship Date" dataDxfId="4"/>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3">
      <calculatedColumnFormula>orders[[#This Row],[Ship Date]]-orders[[#This Row],[Order Date]]</calculatedColumnFormula>
    </tableColumn>
    <tableColumn id="12" xr3:uid="{B071C0DA-87A9-4516-B4D9-4F5B7D3FF44A}" name="Weeknum" dataDxfId="2">
      <calculatedColumnFormula>WEEKNUM(orders[[#This Row],[Order Date]])</calculatedColumnFormula>
    </tableColumn>
    <tableColumn id="13" xr3:uid="{B8EA9E28-7541-4E76-9935-C26438661A18}" name="Gender Value" dataDxfId="1">
      <calculatedColumnFormula array="1">_xlfn.IFS(orders[[#This Row],[Customer Gender]]="M","Male", orders[[#This Row],[Customer Gender]]="F","Female", orders[[#This Row],[Customer Gender]]="O","Other", TRUE,"Unknown")</calculatedColumnFormula>
    </tableColumn>
    <tableColumn id="16" xr3:uid="{7CB57629-8616-4241-B47B-8BAC7D3DB935}" name="Order Status"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W2401"/>
  <sheetViews>
    <sheetView topLeftCell="A2" workbookViewId="0">
      <selection activeCell="D32" sqref="D32"/>
    </sheetView>
  </sheetViews>
  <sheetFormatPr defaultRowHeight="14.25"/>
  <cols>
    <col min="2" max="2" width="19.125" bestFit="1" customWidth="1"/>
    <col min="3" max="3" width="8.125" bestFit="1" customWidth="1"/>
    <col min="4" max="4" width="9.125" bestFit="1" customWidth="1"/>
    <col min="5" max="5" width="7.5" bestFit="1" customWidth="1"/>
    <col min="6" max="6" width="10" bestFit="1" customWidth="1"/>
    <col min="7" max="7" width="9.5" bestFit="1" customWidth="1"/>
    <col min="8" max="8" width="15.625" bestFit="1" customWidth="1"/>
    <col min="9" max="9" width="13.375" customWidth="1"/>
    <col min="10" max="10" width="9.375" customWidth="1"/>
    <col min="11" max="11" width="12.375" customWidth="1"/>
    <col min="12" max="12" width="19.625" bestFit="1" customWidth="1"/>
    <col min="13" max="13" width="13.375" bestFit="1" customWidth="1"/>
    <col min="14" max="14" width="9.375" bestFit="1" customWidth="1"/>
    <col min="15" max="15" width="12.125" bestFit="1" customWidth="1"/>
    <col min="20" max="20" width="19.5" customWidth="1"/>
    <col min="21" max="21" width="14.5" customWidth="1"/>
  </cols>
  <sheetData>
    <row r="1" spans="1:23">
      <c r="A1" t="s">
        <v>0</v>
      </c>
      <c r="B1" t="s">
        <v>1</v>
      </c>
      <c r="C1" t="s">
        <v>2</v>
      </c>
      <c r="D1" t="s">
        <v>3</v>
      </c>
      <c r="E1" t="s">
        <v>4</v>
      </c>
      <c r="F1" t="s">
        <v>5</v>
      </c>
      <c r="G1" t="s">
        <v>6</v>
      </c>
      <c r="H1" t="s">
        <v>7</v>
      </c>
      <c r="I1" t="s">
        <v>8</v>
      </c>
      <c r="J1" t="s">
        <v>9</v>
      </c>
      <c r="K1" t="s">
        <v>10</v>
      </c>
      <c r="L1" t="s">
        <v>11</v>
      </c>
      <c r="M1" s="2" t="s">
        <v>12</v>
      </c>
      <c r="N1" s="2" t="s">
        <v>13</v>
      </c>
      <c r="O1" s="2" t="s">
        <v>14</v>
      </c>
      <c r="P1" s="2" t="s">
        <v>2520</v>
      </c>
    </row>
    <row r="2" spans="1:23">
      <c r="A2" t="s">
        <v>15</v>
      </c>
      <c r="B2" t="s">
        <v>16</v>
      </c>
      <c r="C2">
        <v>1</v>
      </c>
      <c r="D2">
        <v>111</v>
      </c>
      <c r="E2">
        <v>10.9</v>
      </c>
      <c r="F2" s="1">
        <v>45658</v>
      </c>
      <c r="G2" s="1">
        <v>45663</v>
      </c>
      <c r="H2" t="s">
        <v>23</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Male</v>
      </c>
      <c r="P2" s="14" t="s">
        <v>2521</v>
      </c>
    </row>
    <row r="3" spans="1:2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c r="P3" s="14" t="s">
        <v>2524</v>
      </c>
    </row>
    <row r="4" spans="1:2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c r="P4" s="14" t="s">
        <v>2522</v>
      </c>
    </row>
    <row r="5" spans="1:23">
      <c r="A5" t="s">
        <v>29</v>
      </c>
      <c r="B5" t="s">
        <v>30</v>
      </c>
      <c r="C5">
        <v>7</v>
      </c>
      <c r="D5">
        <v>1</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c r="P5" s="14" t="s">
        <v>2523</v>
      </c>
    </row>
    <row r="6" spans="1:2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c r="P6" s="14" t="s">
        <v>2522</v>
      </c>
    </row>
    <row r="7" spans="1:2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c r="P7" s="14" t="s">
        <v>2521</v>
      </c>
      <c r="T7" t="s">
        <v>2529</v>
      </c>
      <c r="U7" t="s">
        <v>2530</v>
      </c>
      <c r="W7" t="s">
        <v>2504</v>
      </c>
    </row>
    <row r="8" spans="1:2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c r="P8" s="14" t="s">
        <v>2523</v>
      </c>
      <c r="T8" t="s">
        <v>2503</v>
      </c>
      <c r="U8">
        <f>COUNTA(A2:A401)</f>
        <v>400</v>
      </c>
      <c r="W8" t="s">
        <v>2505</v>
      </c>
    </row>
    <row r="9" spans="1:2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c r="P9" s="14" t="s">
        <v>2521</v>
      </c>
      <c r="T9" t="s">
        <v>2531</v>
      </c>
      <c r="U9">
        <f>SUM(E2:E2401)</f>
        <v>649019.80000000144</v>
      </c>
      <c r="W9" t="s">
        <v>2506</v>
      </c>
    </row>
    <row r="10" spans="1:2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c r="P10" s="14" t="s">
        <v>2524</v>
      </c>
      <c r="T10" t="s">
        <v>2532</v>
      </c>
      <c r="U10">
        <f>SUM(C2:C2401)</f>
        <v>11997</v>
      </c>
      <c r="W10" t="s">
        <v>2507</v>
      </c>
    </row>
    <row r="11" spans="1:2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c r="P11" s="14" t="s">
        <v>2521</v>
      </c>
      <c r="T11" t="s">
        <v>2533</v>
      </c>
      <c r="U11">
        <f>AVERAGE(J2:J2401)</f>
        <v>3.9620833333333332</v>
      </c>
      <c r="W11" t="s">
        <v>2508</v>
      </c>
    </row>
    <row r="12" spans="1:2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c r="P12" s="14" t="s">
        <v>2524</v>
      </c>
      <c r="T12" t="s">
        <v>2534</v>
      </c>
      <c r="U12">
        <f>AVERAGE(M2:M2401)</f>
        <v>2.3424999999999998</v>
      </c>
    </row>
    <row r="13" spans="1:2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c r="P13" s="14" t="s">
        <v>2522</v>
      </c>
    </row>
    <row r="14" spans="1:2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c r="P14" s="14" t="s">
        <v>2523</v>
      </c>
    </row>
    <row r="15" spans="1:2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c r="P15" s="14" t="s">
        <v>2522</v>
      </c>
    </row>
    <row r="16" spans="1:2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c r="P16" s="14" t="s">
        <v>2521</v>
      </c>
    </row>
    <row r="17" spans="1:16">
      <c r="A17" t="s">
        <v>56</v>
      </c>
      <c r="B17" t="s">
        <v>46</v>
      </c>
      <c r="C17">
        <v>10</v>
      </c>
      <c r="D17">
        <v>2</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c r="P17" s="14" t="s">
        <v>2523</v>
      </c>
    </row>
    <row r="18" spans="1:16">
      <c r="A18" t="s">
        <v>57</v>
      </c>
      <c r="B18" t="s">
        <v>32</v>
      </c>
      <c r="C18">
        <v>3</v>
      </c>
      <c r="D18">
        <v>2</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c r="P18" s="14" t="s">
        <v>2521</v>
      </c>
    </row>
    <row r="19" spans="1:16">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c r="P19" s="14" t="s">
        <v>2524</v>
      </c>
    </row>
    <row r="20" spans="1:16">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c r="P20" s="14" t="s">
        <v>2521</v>
      </c>
    </row>
    <row r="21" spans="1:16">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c r="P21" s="14" t="s">
        <v>2524</v>
      </c>
    </row>
    <row r="22" spans="1:16">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c r="P22" s="14" t="s">
        <v>2522</v>
      </c>
    </row>
    <row r="23" spans="1:16">
      <c r="A23" t="s">
        <v>64</v>
      </c>
      <c r="B23" t="s">
        <v>44</v>
      </c>
      <c r="C23">
        <v>12</v>
      </c>
      <c r="D23">
        <v>3.12</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c r="P23" s="14" t="s">
        <v>2523</v>
      </c>
    </row>
    <row r="24" spans="1:16">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c r="P24" s="14" t="s">
        <v>2522</v>
      </c>
    </row>
    <row r="25" spans="1:16">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c r="P25" s="14" t="s">
        <v>2521</v>
      </c>
    </row>
    <row r="26" spans="1:16">
      <c r="A26" t="s">
        <v>68</v>
      </c>
      <c r="B26" t="s">
        <v>69</v>
      </c>
      <c r="C26">
        <v>8</v>
      </c>
      <c r="D26">
        <v>2</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c r="P26" s="14" t="s">
        <v>2523</v>
      </c>
    </row>
    <row r="27" spans="1:16">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c r="P27" s="14" t="s">
        <v>2521</v>
      </c>
    </row>
    <row r="28" spans="1:16">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c r="P28" s="14" t="s">
        <v>2524</v>
      </c>
    </row>
    <row r="29" spans="1:16">
      <c r="A29" t="s">
        <v>75</v>
      </c>
      <c r="B29" t="s">
        <v>76</v>
      </c>
      <c r="C29">
        <v>4</v>
      </c>
      <c r="D29">
        <v>57.2</v>
      </c>
      <c r="E29">
        <v>228.8</v>
      </c>
      <c r="F29" s="1">
        <v>45658</v>
      </c>
      <c r="G29" s="1">
        <v>45660</v>
      </c>
      <c r="H29" t="s">
        <v>23</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Male</v>
      </c>
      <c r="P29" s="14" t="s">
        <v>2521</v>
      </c>
    </row>
    <row r="30" spans="1:16">
      <c r="A30" t="s">
        <v>78</v>
      </c>
      <c r="B30" t="s">
        <v>39</v>
      </c>
      <c r="C30">
        <v>5</v>
      </c>
      <c r="D30">
        <v>50.9</v>
      </c>
      <c r="E30">
        <v>254.5</v>
      </c>
      <c r="F30" s="1">
        <v>45658</v>
      </c>
      <c r="G30" s="1">
        <v>45664</v>
      </c>
      <c r="H30" t="s">
        <v>23</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Male</v>
      </c>
      <c r="P30" s="14" t="s">
        <v>2524</v>
      </c>
    </row>
    <row r="31" spans="1:16">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c r="P31" s="14" t="s">
        <v>2522</v>
      </c>
    </row>
    <row r="32" spans="1:16">
      <c r="A32" t="s">
        <v>83</v>
      </c>
      <c r="B32" t="s">
        <v>44</v>
      </c>
      <c r="C32">
        <v>7</v>
      </c>
      <c r="D32">
        <v>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c r="P32" s="14" t="s">
        <v>2523</v>
      </c>
    </row>
    <row r="33" spans="1:16">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c r="P33" s="14" t="s">
        <v>2522</v>
      </c>
    </row>
    <row r="34" spans="1:16">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c r="P34" s="14" t="s">
        <v>2521</v>
      </c>
    </row>
    <row r="35" spans="1:16">
      <c r="A35" t="s">
        <v>88</v>
      </c>
      <c r="B35" t="s">
        <v>54</v>
      </c>
      <c r="C35">
        <v>6</v>
      </c>
      <c r="D35">
        <v>21.7</v>
      </c>
      <c r="E35">
        <v>130.19999999999999</v>
      </c>
      <c r="F35" s="1">
        <v>45658</v>
      </c>
      <c r="G35" s="1">
        <v>45660</v>
      </c>
      <c r="H35" t="s">
        <v>27</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Female</v>
      </c>
      <c r="P35" s="14" t="s">
        <v>2523</v>
      </c>
    </row>
    <row r="36" spans="1:16">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c r="P36" s="14" t="s">
        <v>2521</v>
      </c>
    </row>
    <row r="37" spans="1:16">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c r="P37" s="14" t="s">
        <v>2524</v>
      </c>
    </row>
    <row r="38" spans="1:16">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c r="P38" s="14" t="s">
        <v>2521</v>
      </c>
    </row>
    <row r="39" spans="1:16">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c r="P39" s="14" t="s">
        <v>2524</v>
      </c>
    </row>
    <row r="40" spans="1:16">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c r="P40" s="14" t="s">
        <v>2522</v>
      </c>
    </row>
    <row r="41" spans="1:16">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c r="P41" s="14" t="s">
        <v>2523</v>
      </c>
    </row>
    <row r="42" spans="1:16">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c r="P42" s="14" t="s">
        <v>2522</v>
      </c>
    </row>
    <row r="43" spans="1:16">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c r="P43" s="14" t="s">
        <v>2521</v>
      </c>
    </row>
    <row r="44" spans="1:16">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c r="P44" s="14" t="s">
        <v>2523</v>
      </c>
    </row>
    <row r="45" spans="1:16">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c r="P45" s="14" t="s">
        <v>2521</v>
      </c>
    </row>
    <row r="46" spans="1:16">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c r="P46" s="14" t="s">
        <v>2524</v>
      </c>
    </row>
    <row r="47" spans="1:16">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c r="P47" s="14" t="s">
        <v>2521</v>
      </c>
    </row>
    <row r="48" spans="1:16">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c r="P48" s="14" t="s">
        <v>2524</v>
      </c>
    </row>
    <row r="49" spans="1:16">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c r="P49" s="14" t="s">
        <v>2522</v>
      </c>
    </row>
    <row r="50" spans="1:16">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c r="P50" s="14" t="s">
        <v>2523</v>
      </c>
    </row>
    <row r="51" spans="1:16">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c r="P51" s="14" t="s">
        <v>2522</v>
      </c>
    </row>
    <row r="52" spans="1:16">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c r="P52" s="14" t="s">
        <v>2521</v>
      </c>
    </row>
    <row r="53" spans="1:16">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c r="P53" s="14" t="s">
        <v>2523</v>
      </c>
    </row>
    <row r="54" spans="1:16">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c r="P54" s="14" t="s">
        <v>2521</v>
      </c>
    </row>
    <row r="55" spans="1:16">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c r="P55" s="14" t="s">
        <v>2524</v>
      </c>
    </row>
    <row r="56" spans="1:16">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c r="P56" s="14" t="s">
        <v>2521</v>
      </c>
    </row>
    <row r="57" spans="1:16">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c r="P57" s="14" t="s">
        <v>2524</v>
      </c>
    </row>
    <row r="58" spans="1:16">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c r="P58" s="14" t="s">
        <v>2522</v>
      </c>
    </row>
    <row r="59" spans="1:16">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c r="P59" s="14" t="s">
        <v>2523</v>
      </c>
    </row>
    <row r="60" spans="1:16">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c r="P60" s="14" t="s">
        <v>2522</v>
      </c>
    </row>
    <row r="61" spans="1:16">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c r="P61" s="14" t="s">
        <v>2521</v>
      </c>
    </row>
    <row r="62" spans="1:16">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c r="P62" s="14" t="s">
        <v>2523</v>
      </c>
    </row>
    <row r="63" spans="1:16">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c r="P63" s="14" t="s">
        <v>2521</v>
      </c>
    </row>
    <row r="64" spans="1:16">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c r="P64" s="14" t="s">
        <v>2524</v>
      </c>
    </row>
    <row r="65" spans="1:16">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c r="P65" s="14" t="s">
        <v>2521</v>
      </c>
    </row>
    <row r="66" spans="1:16">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c r="P66" s="14" t="s">
        <v>2524</v>
      </c>
    </row>
    <row r="67" spans="1:16">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c r="P67" s="14" t="s">
        <v>2522</v>
      </c>
    </row>
    <row r="68" spans="1:16">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c r="P68" s="14" t="s">
        <v>2523</v>
      </c>
    </row>
    <row r="69" spans="1:16">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c r="P69" s="14" t="s">
        <v>2522</v>
      </c>
    </row>
    <row r="70" spans="1:16">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c r="P70" s="14" t="s">
        <v>2521</v>
      </c>
    </row>
    <row r="71" spans="1:16">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c r="P71" s="14" t="s">
        <v>2523</v>
      </c>
    </row>
    <row r="72" spans="1:16">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c r="P72" s="14" t="s">
        <v>2521</v>
      </c>
    </row>
    <row r="73" spans="1:16">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c r="P73" s="14" t="s">
        <v>2524</v>
      </c>
    </row>
    <row r="74" spans="1:16">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c r="P74" s="14" t="s">
        <v>2521</v>
      </c>
    </row>
    <row r="75" spans="1:16">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c r="P75" s="14" t="s">
        <v>2524</v>
      </c>
    </row>
    <row r="76" spans="1:16">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c r="P76" s="14" t="s">
        <v>2522</v>
      </c>
    </row>
    <row r="77" spans="1:16">
      <c r="A77" t="s">
        <v>140</v>
      </c>
      <c r="B77" t="s">
        <v>69</v>
      </c>
      <c r="C77">
        <v>4</v>
      </c>
      <c r="D77">
        <v>44.4</v>
      </c>
      <c r="E77">
        <v>177.6</v>
      </c>
      <c r="F77" s="1">
        <v>45660</v>
      </c>
      <c r="G77" s="1">
        <v>45661</v>
      </c>
      <c r="H77" t="s">
        <v>23</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Male</v>
      </c>
      <c r="P77" s="14" t="s">
        <v>2523</v>
      </c>
    </row>
    <row r="78" spans="1:16">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c r="P78" s="14" t="s">
        <v>2522</v>
      </c>
    </row>
    <row r="79" spans="1:16">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c r="P79" s="14" t="s">
        <v>2521</v>
      </c>
    </row>
    <row r="80" spans="1:16">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c r="P80" s="14" t="s">
        <v>2523</v>
      </c>
    </row>
    <row r="81" spans="1:16">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c r="P81" s="14" t="s">
        <v>2521</v>
      </c>
    </row>
    <row r="82" spans="1:16">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c r="P82" s="14" t="s">
        <v>2524</v>
      </c>
    </row>
    <row r="83" spans="1:16">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c r="P83" s="14" t="s">
        <v>2521</v>
      </c>
    </row>
    <row r="84" spans="1:16">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c r="P84" s="14" t="s">
        <v>2524</v>
      </c>
    </row>
    <row r="85" spans="1:16">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c r="P85" s="14" t="s">
        <v>2522</v>
      </c>
    </row>
    <row r="86" spans="1:16">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c r="P86" s="14" t="s">
        <v>2523</v>
      </c>
    </row>
    <row r="87" spans="1:16">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c r="P87" s="14" t="s">
        <v>2522</v>
      </c>
    </row>
    <row r="88" spans="1:16">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c r="P88" s="14" t="s">
        <v>2521</v>
      </c>
    </row>
    <row r="89" spans="1:16">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c r="P89" s="14" t="s">
        <v>2523</v>
      </c>
    </row>
    <row r="90" spans="1:16">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c r="P90" s="14" t="s">
        <v>2521</v>
      </c>
    </row>
    <row r="91" spans="1:16">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c r="P91" s="14" t="s">
        <v>2524</v>
      </c>
    </row>
    <row r="92" spans="1:16">
      <c r="A92" t="s">
        <v>157</v>
      </c>
      <c r="B92" t="s">
        <v>46</v>
      </c>
      <c r="C92">
        <v>5</v>
      </c>
      <c r="D92">
        <v>54.7</v>
      </c>
      <c r="E92">
        <v>273.5</v>
      </c>
      <c r="F92" s="1">
        <v>45661</v>
      </c>
      <c r="G92" s="1">
        <v>45664</v>
      </c>
      <c r="H92" t="s">
        <v>27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Female</v>
      </c>
      <c r="P92" s="14" t="s">
        <v>2521</v>
      </c>
    </row>
    <row r="93" spans="1:16">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c r="P93" s="14" t="s">
        <v>2524</v>
      </c>
    </row>
    <row r="94" spans="1:16">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c r="P94" s="14" t="s">
        <v>2522</v>
      </c>
    </row>
    <row r="95" spans="1:16">
      <c r="A95" t="s">
        <v>161</v>
      </c>
      <c r="B95" t="s">
        <v>39</v>
      </c>
      <c r="C95">
        <v>13</v>
      </c>
      <c r="D95">
        <v>61.5</v>
      </c>
      <c r="E95">
        <v>799.5</v>
      </c>
      <c r="F95" s="1">
        <v>45661</v>
      </c>
      <c r="G95" s="1">
        <v>45662</v>
      </c>
      <c r="H95" t="s">
        <v>27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Female</v>
      </c>
      <c r="P95" s="14" t="s">
        <v>2523</v>
      </c>
    </row>
    <row r="96" spans="1:16">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c r="P96" s="14" t="s">
        <v>2522</v>
      </c>
    </row>
    <row r="97" spans="1:16">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c r="P97" s="14" t="s">
        <v>2521</v>
      </c>
    </row>
    <row r="98" spans="1:16">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c r="P98" s="14" t="s">
        <v>2523</v>
      </c>
    </row>
    <row r="99" spans="1:16">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c r="P99" s="14" t="s">
        <v>2521</v>
      </c>
    </row>
    <row r="100" spans="1:16">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c r="P100" s="14" t="s">
        <v>2524</v>
      </c>
    </row>
    <row r="101" spans="1:16">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c r="P101" s="14" t="s">
        <v>2521</v>
      </c>
    </row>
    <row r="102" spans="1:16">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c r="P102" s="14" t="s">
        <v>2524</v>
      </c>
    </row>
    <row r="103" spans="1:16">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c r="P103" s="14" t="s">
        <v>2522</v>
      </c>
    </row>
    <row r="104" spans="1:16">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c r="P104" s="14" t="s">
        <v>2523</v>
      </c>
    </row>
    <row r="105" spans="1:16">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c r="P105" s="14" t="s">
        <v>2522</v>
      </c>
    </row>
    <row r="106" spans="1:16">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c r="P106" s="14" t="s">
        <v>2521</v>
      </c>
    </row>
    <row r="107" spans="1:16">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c r="P107" s="14" t="s">
        <v>2523</v>
      </c>
    </row>
    <row r="108" spans="1:16">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c r="P108" s="14" t="s">
        <v>2521</v>
      </c>
    </row>
    <row r="109" spans="1:16">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c r="P109" s="14" t="s">
        <v>2524</v>
      </c>
    </row>
    <row r="110" spans="1:16">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c r="P110" s="14" t="s">
        <v>2521</v>
      </c>
    </row>
    <row r="111" spans="1:16">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c r="P111" s="14" t="s">
        <v>2524</v>
      </c>
    </row>
    <row r="112" spans="1:16">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c r="P112" s="14" t="s">
        <v>2522</v>
      </c>
    </row>
    <row r="113" spans="1:16">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c r="P113" s="14" t="s">
        <v>2523</v>
      </c>
    </row>
    <row r="114" spans="1:16">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c r="P114" s="14" t="s">
        <v>2522</v>
      </c>
    </row>
    <row r="115" spans="1:16">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c r="P115" s="14" t="s">
        <v>2521</v>
      </c>
    </row>
    <row r="116" spans="1:16">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c r="P116" s="14" t="s">
        <v>2523</v>
      </c>
    </row>
    <row r="117" spans="1:16">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c r="P117" s="14" t="s">
        <v>2521</v>
      </c>
    </row>
    <row r="118" spans="1:16">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c r="P118" s="14" t="s">
        <v>2524</v>
      </c>
    </row>
    <row r="119" spans="1:16">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c r="P119" s="14" t="s">
        <v>2521</v>
      </c>
    </row>
    <row r="120" spans="1:16">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c r="P120" s="14" t="s">
        <v>2524</v>
      </c>
    </row>
    <row r="121" spans="1:16">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c r="P121" s="14" t="s">
        <v>2522</v>
      </c>
    </row>
    <row r="122" spans="1:16">
      <c r="A122" t="s">
        <v>191</v>
      </c>
      <c r="B122" t="s">
        <v>39</v>
      </c>
      <c r="C122">
        <v>3</v>
      </c>
      <c r="D122">
        <v>44.3</v>
      </c>
      <c r="E122">
        <v>132.89999999999998</v>
      </c>
      <c r="F122" s="1">
        <v>45662</v>
      </c>
      <c r="G122" s="1">
        <v>45666</v>
      </c>
      <c r="H122" t="s">
        <v>23</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Male</v>
      </c>
      <c r="P122" s="14" t="s">
        <v>2523</v>
      </c>
    </row>
    <row r="123" spans="1:16">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c r="P123" s="14" t="s">
        <v>2522</v>
      </c>
    </row>
    <row r="124" spans="1:16">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c r="P124" s="14" t="s">
        <v>2521</v>
      </c>
    </row>
    <row r="125" spans="1:16">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c r="P125" s="14" t="s">
        <v>2523</v>
      </c>
    </row>
    <row r="126" spans="1:16">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c r="P126" s="14" t="s">
        <v>2521</v>
      </c>
    </row>
    <row r="127" spans="1:16">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c r="P127" s="14" t="s">
        <v>2524</v>
      </c>
    </row>
    <row r="128" spans="1:16">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c r="P128" s="14" t="s">
        <v>2521</v>
      </c>
    </row>
    <row r="129" spans="1:16">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c r="P129" s="14" t="s">
        <v>2524</v>
      </c>
    </row>
    <row r="130" spans="1:16">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c r="P130" s="14" t="s">
        <v>2522</v>
      </c>
    </row>
    <row r="131" spans="1:16">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c r="P131" s="14" t="s">
        <v>2523</v>
      </c>
    </row>
    <row r="132" spans="1:16">
      <c r="A132" t="s">
        <v>202</v>
      </c>
      <c r="B132" t="s">
        <v>46</v>
      </c>
      <c r="C132">
        <v>1</v>
      </c>
      <c r="D132">
        <v>23.3</v>
      </c>
      <c r="E132">
        <v>23.3</v>
      </c>
      <c r="F132" s="1">
        <v>45663</v>
      </c>
      <c r="G132" s="1">
        <v>45672</v>
      </c>
      <c r="H132" t="s">
        <v>23</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Male</v>
      </c>
      <c r="P132" s="14" t="s">
        <v>2522</v>
      </c>
    </row>
    <row r="133" spans="1:16">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c r="P133" s="14" t="s">
        <v>2521</v>
      </c>
    </row>
    <row r="134" spans="1:16">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c r="P134" s="14" t="s">
        <v>2523</v>
      </c>
    </row>
    <row r="135" spans="1:16">
      <c r="A135" t="s">
        <v>205</v>
      </c>
      <c r="B135" t="s">
        <v>37</v>
      </c>
      <c r="C135">
        <v>3</v>
      </c>
      <c r="D135">
        <v>75.8</v>
      </c>
      <c r="E135">
        <v>227.39999999999998</v>
      </c>
      <c r="F135" s="1">
        <v>45663</v>
      </c>
      <c r="G135" s="1">
        <v>45668</v>
      </c>
      <c r="H135" t="s">
        <v>23</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Male</v>
      </c>
      <c r="P135" s="14" t="s">
        <v>2521</v>
      </c>
    </row>
    <row r="136" spans="1:16">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c r="P136" s="14" t="s">
        <v>2524</v>
      </c>
    </row>
    <row r="137" spans="1:16">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c r="P137" s="14" t="s">
        <v>2521</v>
      </c>
    </row>
    <row r="138" spans="1:16">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c r="P138" s="14" t="s">
        <v>2524</v>
      </c>
    </row>
    <row r="139" spans="1:16">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c r="P139" s="14" t="s">
        <v>2522</v>
      </c>
    </row>
    <row r="140" spans="1:16">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c r="P140" s="14" t="s">
        <v>2523</v>
      </c>
    </row>
    <row r="141" spans="1:16">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c r="P141" s="14" t="s">
        <v>2522</v>
      </c>
    </row>
    <row r="142" spans="1:16">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c r="P142" s="14" t="s">
        <v>2521</v>
      </c>
    </row>
    <row r="143" spans="1:16">
      <c r="A143" t="s">
        <v>214</v>
      </c>
      <c r="B143" t="s">
        <v>46</v>
      </c>
      <c r="C143">
        <v>1</v>
      </c>
      <c r="D143">
        <v>31.7</v>
      </c>
      <c r="E143">
        <v>31.7</v>
      </c>
      <c r="F143" s="1">
        <v>45663</v>
      </c>
      <c r="G143" s="1">
        <v>45663</v>
      </c>
      <c r="H143" t="s">
        <v>27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Female</v>
      </c>
      <c r="P143" s="14" t="s">
        <v>2523</v>
      </c>
    </row>
    <row r="144" spans="1:16">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c r="P144" s="14" t="s">
        <v>2521</v>
      </c>
    </row>
    <row r="145" spans="1:16">
      <c r="A145" t="s">
        <v>216</v>
      </c>
      <c r="B145" t="s">
        <v>32</v>
      </c>
      <c r="C145">
        <v>2</v>
      </c>
      <c r="D145">
        <v>47.8</v>
      </c>
      <c r="E145">
        <v>95.6</v>
      </c>
      <c r="F145" s="1">
        <v>45663</v>
      </c>
      <c r="G145" s="1">
        <v>45664</v>
      </c>
      <c r="H145" t="s">
        <v>23</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Male</v>
      </c>
      <c r="P145" s="14" t="s">
        <v>2524</v>
      </c>
    </row>
    <row r="146" spans="1:16">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c r="P146" s="14" t="s">
        <v>2521</v>
      </c>
    </row>
    <row r="147" spans="1:16">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c r="P147" s="14" t="s">
        <v>2524</v>
      </c>
    </row>
    <row r="148" spans="1:16">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c r="P148" s="14" t="s">
        <v>2522</v>
      </c>
    </row>
    <row r="149" spans="1:16">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c r="P149" s="14" t="s">
        <v>2523</v>
      </c>
    </row>
    <row r="150" spans="1:16">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c r="P150" s="14" t="s">
        <v>2522</v>
      </c>
    </row>
    <row r="151" spans="1:16">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c r="P151" s="14" t="s">
        <v>2521</v>
      </c>
    </row>
    <row r="152" spans="1:16">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c r="P152" s="14" t="s">
        <v>2523</v>
      </c>
    </row>
    <row r="153" spans="1:16">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c r="P153" s="14" t="s">
        <v>2521</v>
      </c>
    </row>
    <row r="154" spans="1:16">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c r="P154" s="14" t="s">
        <v>2524</v>
      </c>
    </row>
    <row r="155" spans="1:16">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c r="P155" s="14" t="s">
        <v>2521</v>
      </c>
    </row>
    <row r="156" spans="1:16">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c r="P156" s="14" t="s">
        <v>2524</v>
      </c>
    </row>
    <row r="157" spans="1:16">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c r="P157" s="14" t="s">
        <v>2522</v>
      </c>
    </row>
    <row r="158" spans="1:16">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c r="P158" s="14" t="s">
        <v>2523</v>
      </c>
    </row>
    <row r="159" spans="1:16">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c r="P159" s="14" t="s">
        <v>2522</v>
      </c>
    </row>
    <row r="160" spans="1:16">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c r="P160" s="14" t="s">
        <v>2521</v>
      </c>
    </row>
    <row r="161" spans="1:16">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c r="P161" s="14" t="s">
        <v>2523</v>
      </c>
    </row>
    <row r="162" spans="1:16">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c r="P162" s="14" t="s">
        <v>2521</v>
      </c>
    </row>
    <row r="163" spans="1:16">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c r="P163" s="14" t="s">
        <v>2524</v>
      </c>
    </row>
    <row r="164" spans="1:16">
      <c r="A164" t="s">
        <v>235</v>
      </c>
      <c r="B164" t="s">
        <v>16</v>
      </c>
      <c r="C164">
        <v>9</v>
      </c>
      <c r="D164">
        <v>12.5</v>
      </c>
      <c r="E164">
        <v>112.5</v>
      </c>
      <c r="F164" s="1">
        <v>45664</v>
      </c>
      <c r="G164" s="1">
        <v>45665</v>
      </c>
      <c r="H164" t="s">
        <v>23</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Male</v>
      </c>
      <c r="P164" s="14" t="s">
        <v>2521</v>
      </c>
    </row>
    <row r="165" spans="1:16">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c r="P165" s="14" t="s">
        <v>2524</v>
      </c>
    </row>
    <row r="166" spans="1:16">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c r="P166" s="14" t="s">
        <v>2522</v>
      </c>
    </row>
    <row r="167" spans="1:16">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c r="P167" s="14" t="s">
        <v>2523</v>
      </c>
    </row>
    <row r="168" spans="1:16">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c r="P168" s="14" t="s">
        <v>2522</v>
      </c>
    </row>
    <row r="169" spans="1:16">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c r="P169" s="14" t="s">
        <v>2521</v>
      </c>
    </row>
    <row r="170" spans="1:16">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c r="P170" s="14" t="s">
        <v>2523</v>
      </c>
    </row>
    <row r="171" spans="1:16">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c r="P171" s="14" t="s">
        <v>2521</v>
      </c>
    </row>
    <row r="172" spans="1:16">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c r="P172" s="14" t="s">
        <v>2524</v>
      </c>
    </row>
    <row r="173" spans="1:16">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c r="P173" s="14" t="s">
        <v>2521</v>
      </c>
    </row>
    <row r="174" spans="1:16">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c r="P174" s="14" t="s">
        <v>2524</v>
      </c>
    </row>
    <row r="175" spans="1:16">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c r="P175" s="14" t="s">
        <v>2522</v>
      </c>
    </row>
    <row r="176" spans="1:16">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c r="P176" s="14" t="s">
        <v>2523</v>
      </c>
    </row>
    <row r="177" spans="1:16">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c r="P177" s="14" t="s">
        <v>2522</v>
      </c>
    </row>
    <row r="178" spans="1:16">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c r="P178" s="14" t="s">
        <v>2521</v>
      </c>
    </row>
    <row r="179" spans="1:16">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c r="P179" s="14" t="s">
        <v>2523</v>
      </c>
    </row>
    <row r="180" spans="1:16">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c r="P180" s="14" t="s">
        <v>2521</v>
      </c>
    </row>
    <row r="181" spans="1:16">
      <c r="A181" t="s">
        <v>253</v>
      </c>
      <c r="B181" t="s">
        <v>39</v>
      </c>
      <c r="C181">
        <v>5</v>
      </c>
      <c r="D181">
        <v>52.5</v>
      </c>
      <c r="E181">
        <v>262.5</v>
      </c>
      <c r="F181" s="1">
        <v>45664</v>
      </c>
      <c r="G181" s="1">
        <v>45668</v>
      </c>
      <c r="H181" t="s">
        <v>23</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Male</v>
      </c>
      <c r="P181" s="14" t="s">
        <v>2524</v>
      </c>
    </row>
    <row r="182" spans="1:16">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c r="P182" s="14" t="s">
        <v>2521</v>
      </c>
    </row>
    <row r="183" spans="1:16">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c r="P183" s="14" t="s">
        <v>2524</v>
      </c>
    </row>
    <row r="184" spans="1:16">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c r="P184" s="14" t="s">
        <v>2522</v>
      </c>
    </row>
    <row r="185" spans="1:16">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c r="P185" s="14" t="s">
        <v>2523</v>
      </c>
    </row>
    <row r="186" spans="1:16">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c r="P186" s="14" t="s">
        <v>2522</v>
      </c>
    </row>
    <row r="187" spans="1:16">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c r="P187" s="14" t="s">
        <v>2521</v>
      </c>
    </row>
    <row r="188" spans="1:16">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c r="P188" s="14" t="s">
        <v>2523</v>
      </c>
    </row>
    <row r="189" spans="1:16">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c r="P189" s="14" t="s">
        <v>2521</v>
      </c>
    </row>
    <row r="190" spans="1:16">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c r="P190" s="14" t="s">
        <v>2524</v>
      </c>
    </row>
    <row r="191" spans="1:16">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c r="P191" s="14" t="s">
        <v>2521</v>
      </c>
    </row>
    <row r="192" spans="1:16">
      <c r="A192" t="s">
        <v>265</v>
      </c>
      <c r="B192" t="s">
        <v>39</v>
      </c>
      <c r="C192">
        <v>2</v>
      </c>
      <c r="D192">
        <v>51.8</v>
      </c>
      <c r="E192">
        <v>103.6</v>
      </c>
      <c r="F192" s="1">
        <v>45665</v>
      </c>
      <c r="G192" s="1">
        <v>45669</v>
      </c>
      <c r="H192" t="s">
        <v>23</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Male</v>
      </c>
      <c r="P192" s="14" t="s">
        <v>2524</v>
      </c>
    </row>
    <row r="193" spans="1:16">
      <c r="A193" t="s">
        <v>266</v>
      </c>
      <c r="B193" t="s">
        <v>54</v>
      </c>
      <c r="C193">
        <v>5</v>
      </c>
      <c r="D193">
        <v>34.5</v>
      </c>
      <c r="E193">
        <v>172.5</v>
      </c>
      <c r="F193" s="1">
        <v>45665</v>
      </c>
      <c r="G193" s="1">
        <v>45667</v>
      </c>
      <c r="H193" t="s">
        <v>23</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Male</v>
      </c>
      <c r="P193" s="14" t="s">
        <v>2522</v>
      </c>
    </row>
    <row r="194" spans="1:16">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c r="P194" s="14" t="s">
        <v>2523</v>
      </c>
    </row>
    <row r="195" spans="1:16">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c r="P195" s="14" t="s">
        <v>2522</v>
      </c>
    </row>
    <row r="196" spans="1:16">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c r="P196" s="14" t="s">
        <v>2521</v>
      </c>
    </row>
    <row r="197" spans="1:16">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c r="P197" s="14" t="s">
        <v>2523</v>
      </c>
    </row>
    <row r="198" spans="1:16">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c r="P198" s="14" t="s">
        <v>2521</v>
      </c>
    </row>
    <row r="199" spans="1:16">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c r="P199" s="14" t="s">
        <v>2524</v>
      </c>
    </row>
    <row r="200" spans="1:16">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c r="P200" s="14" t="s">
        <v>2521</v>
      </c>
    </row>
    <row r="201" spans="1:16">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c r="P201" s="14" t="s">
        <v>2524</v>
      </c>
    </row>
    <row r="202" spans="1:16">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c r="P202" s="14" t="s">
        <v>2522</v>
      </c>
    </row>
    <row r="203" spans="1:16">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c r="P203" s="14" t="s">
        <v>2523</v>
      </c>
    </row>
    <row r="204" spans="1:16">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c r="P204" s="14" t="s">
        <v>2522</v>
      </c>
    </row>
    <row r="205" spans="1:16">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c r="P205" s="14" t="s">
        <v>2521</v>
      </c>
    </row>
    <row r="206" spans="1:16">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c r="P206" s="14" t="s">
        <v>2523</v>
      </c>
    </row>
    <row r="207" spans="1:16">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c r="P207" s="14" t="s">
        <v>2521</v>
      </c>
    </row>
    <row r="208" spans="1:16">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c r="P208" s="14" t="s">
        <v>2524</v>
      </c>
    </row>
    <row r="209" spans="1:16">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c r="P209" s="14" t="s">
        <v>2521</v>
      </c>
    </row>
    <row r="210" spans="1:16">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c r="P210" s="14" t="s">
        <v>2524</v>
      </c>
    </row>
    <row r="211" spans="1:16">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c r="P211" s="14" t="s">
        <v>2522</v>
      </c>
    </row>
    <row r="212" spans="1:16">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c r="P212" s="14" t="s">
        <v>2523</v>
      </c>
    </row>
    <row r="213" spans="1:16">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c r="P213" s="14" t="s">
        <v>2522</v>
      </c>
    </row>
    <row r="214" spans="1:16">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c r="P214" s="14" t="s">
        <v>2521</v>
      </c>
    </row>
    <row r="215" spans="1:16">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c r="P215" s="14" t="s">
        <v>2523</v>
      </c>
    </row>
    <row r="216" spans="1:16">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c r="P216" s="14" t="s">
        <v>2521</v>
      </c>
    </row>
    <row r="217" spans="1:16">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c r="P217" s="14" t="s">
        <v>2524</v>
      </c>
    </row>
    <row r="218" spans="1:16">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c r="P218" s="14" t="s">
        <v>2521</v>
      </c>
    </row>
    <row r="219" spans="1:16">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c r="P219" s="14" t="s">
        <v>2524</v>
      </c>
    </row>
    <row r="220" spans="1:16">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c r="P220" s="14" t="s">
        <v>2522</v>
      </c>
    </row>
    <row r="221" spans="1:16">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c r="P221" s="14" t="s">
        <v>2523</v>
      </c>
    </row>
    <row r="222" spans="1:16">
      <c r="A222" t="s">
        <v>297</v>
      </c>
      <c r="B222" t="s">
        <v>39</v>
      </c>
      <c r="C222">
        <v>3</v>
      </c>
      <c r="D222">
        <v>68.2</v>
      </c>
      <c r="E222">
        <v>204.60000000000002</v>
      </c>
      <c r="F222" s="1">
        <v>45667</v>
      </c>
      <c r="G222" s="1">
        <v>45671</v>
      </c>
      <c r="H222" t="s">
        <v>27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Female</v>
      </c>
      <c r="P222" s="14" t="s">
        <v>2522</v>
      </c>
    </row>
    <row r="223" spans="1:16">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c r="P223" s="14" t="s">
        <v>2521</v>
      </c>
    </row>
    <row r="224" spans="1:16">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c r="P224" s="14" t="s">
        <v>2523</v>
      </c>
    </row>
    <row r="225" spans="1:16">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c r="P225" s="14" t="s">
        <v>2521</v>
      </c>
    </row>
    <row r="226" spans="1:16">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c r="P226" s="14" t="s">
        <v>2524</v>
      </c>
    </row>
    <row r="227" spans="1:16">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c r="P227" s="14" t="s">
        <v>2521</v>
      </c>
    </row>
    <row r="228" spans="1:16">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c r="P228" s="14" t="s">
        <v>2524</v>
      </c>
    </row>
    <row r="229" spans="1:16">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c r="P229" s="14" t="s">
        <v>2522</v>
      </c>
    </row>
    <row r="230" spans="1:16">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c r="P230" s="14" t="s">
        <v>2523</v>
      </c>
    </row>
    <row r="231" spans="1:16">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c r="P231" s="14" t="s">
        <v>2522</v>
      </c>
    </row>
    <row r="232" spans="1:16">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c r="P232" s="14" t="s">
        <v>2521</v>
      </c>
    </row>
    <row r="233" spans="1:16">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c r="P233" s="14" t="s">
        <v>2523</v>
      </c>
    </row>
    <row r="234" spans="1:16">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c r="P234" s="14" t="s">
        <v>2521</v>
      </c>
    </row>
    <row r="235" spans="1:16">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c r="P235" s="14" t="s">
        <v>2524</v>
      </c>
    </row>
    <row r="236" spans="1:16">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c r="P236" s="14" t="s">
        <v>2521</v>
      </c>
    </row>
    <row r="237" spans="1:16">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c r="P237" s="14" t="s">
        <v>2524</v>
      </c>
    </row>
    <row r="238" spans="1:16">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c r="P238" s="14" t="s">
        <v>2522</v>
      </c>
    </row>
    <row r="239" spans="1:16">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c r="P239" s="14" t="s">
        <v>2523</v>
      </c>
    </row>
    <row r="240" spans="1:16">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c r="P240" s="14" t="s">
        <v>2522</v>
      </c>
    </row>
    <row r="241" spans="1:16">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c r="P241" s="14" t="s">
        <v>2521</v>
      </c>
    </row>
    <row r="242" spans="1:16">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c r="P242" s="14" t="s">
        <v>2523</v>
      </c>
    </row>
    <row r="243" spans="1:16">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c r="P243" s="14" t="s">
        <v>2521</v>
      </c>
    </row>
    <row r="244" spans="1:16">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c r="P244" s="14" t="s">
        <v>2524</v>
      </c>
    </row>
    <row r="245" spans="1:16">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c r="P245" s="14" t="s">
        <v>2521</v>
      </c>
    </row>
    <row r="246" spans="1:16">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c r="P246" s="14" t="s">
        <v>2524</v>
      </c>
    </row>
    <row r="247" spans="1:16">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c r="P247" s="14" t="s">
        <v>2522</v>
      </c>
    </row>
    <row r="248" spans="1:16">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c r="P248" s="14" t="s">
        <v>2523</v>
      </c>
    </row>
    <row r="249" spans="1:16">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c r="P249" s="14" t="s">
        <v>2522</v>
      </c>
    </row>
    <row r="250" spans="1:16">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c r="P250" s="14" t="s">
        <v>2521</v>
      </c>
    </row>
    <row r="251" spans="1:16">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c r="P251" s="14" t="s">
        <v>2523</v>
      </c>
    </row>
    <row r="252" spans="1:16">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c r="P252" s="14" t="s">
        <v>2521</v>
      </c>
    </row>
    <row r="253" spans="1:16">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c r="P253" s="14" t="s">
        <v>2524</v>
      </c>
    </row>
    <row r="254" spans="1:16">
      <c r="A254" t="s">
        <v>330</v>
      </c>
      <c r="B254" t="s">
        <v>146</v>
      </c>
      <c r="C254">
        <v>3</v>
      </c>
      <c r="D254">
        <v>65.3</v>
      </c>
      <c r="E254">
        <v>195.89999999999998</v>
      </c>
      <c r="F254" s="1">
        <v>45668</v>
      </c>
      <c r="G254" s="1">
        <v>45669</v>
      </c>
      <c r="H254" t="s">
        <v>23</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Male</v>
      </c>
      <c r="P254" s="14" t="s">
        <v>2521</v>
      </c>
    </row>
    <row r="255" spans="1:16">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c r="P255" s="14" t="s">
        <v>2524</v>
      </c>
    </row>
    <row r="256" spans="1:16">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c r="P256" s="14" t="s">
        <v>2522</v>
      </c>
    </row>
    <row r="257" spans="1:16">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c r="P257" s="14" t="s">
        <v>2523</v>
      </c>
    </row>
    <row r="258" spans="1:16">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c r="P258" s="14" t="s">
        <v>2522</v>
      </c>
    </row>
    <row r="259" spans="1:16">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c r="P259" s="14" t="s">
        <v>2521</v>
      </c>
    </row>
    <row r="260" spans="1:16">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c r="P260" s="14" t="s">
        <v>2523</v>
      </c>
    </row>
    <row r="261" spans="1:16">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c r="P261" s="14" t="s">
        <v>2521</v>
      </c>
    </row>
    <row r="262" spans="1:16">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c r="P262" s="14" t="s">
        <v>2524</v>
      </c>
    </row>
    <row r="263" spans="1:16">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c r="P263" s="14" t="s">
        <v>2521</v>
      </c>
    </row>
    <row r="264" spans="1:16">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c r="P264" s="14" t="s">
        <v>2524</v>
      </c>
    </row>
    <row r="265" spans="1:16">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c r="P265" s="14" t="s">
        <v>2522</v>
      </c>
    </row>
    <row r="266" spans="1:16">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c r="P266" s="14" t="s">
        <v>2523</v>
      </c>
    </row>
    <row r="267" spans="1:16">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c r="P267" s="14" t="s">
        <v>2522</v>
      </c>
    </row>
    <row r="268" spans="1:16">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c r="P268" s="14" t="s">
        <v>2521</v>
      </c>
    </row>
    <row r="269" spans="1:16">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c r="P269" s="14" t="s">
        <v>2523</v>
      </c>
    </row>
    <row r="270" spans="1:16">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c r="P270" s="14" t="s">
        <v>2521</v>
      </c>
    </row>
    <row r="271" spans="1:16">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c r="P271" s="14" t="s">
        <v>2524</v>
      </c>
    </row>
    <row r="272" spans="1:16">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c r="P272" s="14" t="s">
        <v>2521</v>
      </c>
    </row>
    <row r="273" spans="1:16">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c r="P273" s="14" t="s">
        <v>2524</v>
      </c>
    </row>
    <row r="274" spans="1:16">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c r="P274" s="14" t="s">
        <v>2522</v>
      </c>
    </row>
    <row r="275" spans="1:16">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c r="P275" s="14" t="s">
        <v>2523</v>
      </c>
    </row>
    <row r="276" spans="1:16">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c r="P276" s="14" t="s">
        <v>2522</v>
      </c>
    </row>
    <row r="277" spans="1:16">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c r="P277" s="14" t="s">
        <v>2521</v>
      </c>
    </row>
    <row r="278" spans="1:16">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c r="P278" s="14" t="s">
        <v>2523</v>
      </c>
    </row>
    <row r="279" spans="1:16">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c r="P279" s="14" t="s">
        <v>2521</v>
      </c>
    </row>
    <row r="280" spans="1:16">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c r="P280" s="14" t="s">
        <v>2524</v>
      </c>
    </row>
    <row r="281" spans="1:16">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c r="P281" s="14" t="s">
        <v>2521</v>
      </c>
    </row>
    <row r="282" spans="1:16">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c r="P282" s="14" t="s">
        <v>2524</v>
      </c>
    </row>
    <row r="283" spans="1:16">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c r="P283" s="14" t="s">
        <v>2522</v>
      </c>
    </row>
    <row r="284" spans="1:16">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c r="P284" s="14" t="s">
        <v>2523</v>
      </c>
    </row>
    <row r="285" spans="1:16">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c r="P285" s="14" t="s">
        <v>2522</v>
      </c>
    </row>
    <row r="286" spans="1:16">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c r="P286" s="14" t="s">
        <v>2521</v>
      </c>
    </row>
    <row r="287" spans="1:16">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c r="P287" s="14" t="s">
        <v>2523</v>
      </c>
    </row>
    <row r="288" spans="1:16">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c r="P288" s="14" t="s">
        <v>2521</v>
      </c>
    </row>
    <row r="289" spans="1:16">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c r="P289" s="14" t="s">
        <v>2524</v>
      </c>
    </row>
    <row r="290" spans="1:16">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c r="P290" s="14" t="s">
        <v>2521</v>
      </c>
    </row>
    <row r="291" spans="1:16">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c r="P291" s="14" t="s">
        <v>2524</v>
      </c>
    </row>
    <row r="292" spans="1:16">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c r="P292" s="14" t="s">
        <v>2522</v>
      </c>
    </row>
    <row r="293" spans="1:16">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c r="P293" s="14" t="s">
        <v>2523</v>
      </c>
    </row>
    <row r="294" spans="1:16">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c r="P294" s="14" t="s">
        <v>2522</v>
      </c>
    </row>
    <row r="295" spans="1:16">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c r="P295" s="14" t="s">
        <v>2521</v>
      </c>
    </row>
    <row r="296" spans="1:16">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c r="P296" s="14" t="s">
        <v>2523</v>
      </c>
    </row>
    <row r="297" spans="1:16">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c r="P297" s="14" t="s">
        <v>2521</v>
      </c>
    </row>
    <row r="298" spans="1:16">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c r="P298" s="14" t="s">
        <v>2524</v>
      </c>
    </row>
    <row r="299" spans="1:16">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c r="P299" s="14" t="s">
        <v>2521</v>
      </c>
    </row>
    <row r="300" spans="1:16">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c r="P300" s="14" t="s">
        <v>2524</v>
      </c>
    </row>
    <row r="301" spans="1:16">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c r="P301" s="14" t="s">
        <v>2522</v>
      </c>
    </row>
    <row r="302" spans="1:16">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c r="P302" s="14" t="s">
        <v>2523</v>
      </c>
    </row>
    <row r="303" spans="1:16">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c r="P303" s="14" t="s">
        <v>2522</v>
      </c>
    </row>
    <row r="304" spans="1:16">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c r="P304" s="14" t="s">
        <v>2521</v>
      </c>
    </row>
    <row r="305" spans="1:16">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c r="P305" s="14" t="s">
        <v>2523</v>
      </c>
    </row>
    <row r="306" spans="1:16">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c r="P306" s="14" t="s">
        <v>2521</v>
      </c>
    </row>
    <row r="307" spans="1:16">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c r="P307" s="14" t="s">
        <v>2524</v>
      </c>
    </row>
    <row r="308" spans="1:16">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c r="P308" s="14" t="s">
        <v>2521</v>
      </c>
    </row>
    <row r="309" spans="1:16">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c r="P309" s="14" t="s">
        <v>2524</v>
      </c>
    </row>
    <row r="310" spans="1:16">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c r="P310" s="14" t="s">
        <v>2522</v>
      </c>
    </row>
    <row r="311" spans="1:16">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c r="P311" s="14" t="s">
        <v>2523</v>
      </c>
    </row>
    <row r="312" spans="1:16">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c r="P312" s="14" t="s">
        <v>2522</v>
      </c>
    </row>
    <row r="313" spans="1:16">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c r="P313" s="14" t="s">
        <v>2521</v>
      </c>
    </row>
    <row r="314" spans="1:16">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c r="P314" s="14" t="s">
        <v>2523</v>
      </c>
    </row>
    <row r="315" spans="1:16">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c r="P315" s="14" t="s">
        <v>2521</v>
      </c>
    </row>
    <row r="316" spans="1:16">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c r="P316" s="14" t="s">
        <v>2524</v>
      </c>
    </row>
    <row r="317" spans="1:16">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c r="P317" s="14" t="s">
        <v>2521</v>
      </c>
    </row>
    <row r="318" spans="1:16">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c r="P318" s="14" t="s">
        <v>2524</v>
      </c>
    </row>
    <row r="319" spans="1:16">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c r="P319" s="14" t="s">
        <v>2522</v>
      </c>
    </row>
    <row r="320" spans="1:16">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c r="P320" s="14" t="s">
        <v>2523</v>
      </c>
    </row>
    <row r="321" spans="1:16">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c r="P321" s="14" t="s">
        <v>2522</v>
      </c>
    </row>
    <row r="322" spans="1:16">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c r="P322" s="14" t="s">
        <v>2521</v>
      </c>
    </row>
    <row r="323" spans="1:16">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c r="P323" s="14" t="s">
        <v>2523</v>
      </c>
    </row>
    <row r="324" spans="1:16">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c r="P324" s="14" t="s">
        <v>2521</v>
      </c>
    </row>
    <row r="325" spans="1:16">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c r="P325" s="14" t="s">
        <v>2524</v>
      </c>
    </row>
    <row r="326" spans="1:16">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c r="P326" s="14" t="s">
        <v>2521</v>
      </c>
    </row>
    <row r="327" spans="1:16">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c r="P327" s="14" t="s">
        <v>2524</v>
      </c>
    </row>
    <row r="328" spans="1:16">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c r="P328" s="14" t="s">
        <v>2522</v>
      </c>
    </row>
    <row r="329" spans="1:16">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c r="P329" s="14" t="s">
        <v>2523</v>
      </c>
    </row>
    <row r="330" spans="1:16">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c r="P330" s="14" t="s">
        <v>2522</v>
      </c>
    </row>
    <row r="331" spans="1:16">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c r="P331" s="14" t="s">
        <v>2521</v>
      </c>
    </row>
    <row r="332" spans="1:16">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c r="P332" s="14" t="s">
        <v>2523</v>
      </c>
    </row>
    <row r="333" spans="1:16">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c r="P333" s="14" t="s">
        <v>2521</v>
      </c>
    </row>
    <row r="334" spans="1:16">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c r="P334" s="14" t="s">
        <v>2524</v>
      </c>
    </row>
    <row r="335" spans="1:16">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c r="P335" s="14" t="s">
        <v>2521</v>
      </c>
    </row>
    <row r="336" spans="1:16">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c r="P336" s="14" t="s">
        <v>2524</v>
      </c>
    </row>
    <row r="337" spans="1:16">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c r="P337" s="14" t="s">
        <v>2522</v>
      </c>
    </row>
    <row r="338" spans="1:16">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c r="P338" s="14" t="s">
        <v>2523</v>
      </c>
    </row>
    <row r="339" spans="1:16">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c r="P339" s="14" t="s">
        <v>2522</v>
      </c>
    </row>
    <row r="340" spans="1:16">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c r="P340" s="14" t="s">
        <v>2521</v>
      </c>
    </row>
    <row r="341" spans="1:16">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c r="P341" s="14" t="s">
        <v>2523</v>
      </c>
    </row>
    <row r="342" spans="1:16">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c r="P342" s="14" t="s">
        <v>2521</v>
      </c>
    </row>
    <row r="343" spans="1:16">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c r="P343" s="14" t="s">
        <v>2524</v>
      </c>
    </row>
    <row r="344" spans="1:16">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c r="P344" s="14" t="s">
        <v>2521</v>
      </c>
    </row>
    <row r="345" spans="1:16">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c r="P345" s="14" t="s">
        <v>2524</v>
      </c>
    </row>
    <row r="346" spans="1:16">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c r="P346" s="14" t="s">
        <v>2522</v>
      </c>
    </row>
    <row r="347" spans="1:16">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c r="P347" s="14" t="s">
        <v>2523</v>
      </c>
    </row>
    <row r="348" spans="1:16">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c r="P348" s="14" t="s">
        <v>2522</v>
      </c>
    </row>
    <row r="349" spans="1:16">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c r="P349" s="14" t="s">
        <v>2521</v>
      </c>
    </row>
    <row r="350" spans="1:16">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c r="P350" s="14" t="s">
        <v>2523</v>
      </c>
    </row>
    <row r="351" spans="1:16">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c r="P351" s="14" t="s">
        <v>2521</v>
      </c>
    </row>
    <row r="352" spans="1:16">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c r="P352" s="14" t="s">
        <v>2524</v>
      </c>
    </row>
    <row r="353" spans="1:16">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c r="P353" s="14" t="s">
        <v>2521</v>
      </c>
    </row>
    <row r="354" spans="1:16">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c r="P354" s="14" t="s">
        <v>2524</v>
      </c>
    </row>
    <row r="355" spans="1:16">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c r="P355" s="14" t="s">
        <v>2522</v>
      </c>
    </row>
    <row r="356" spans="1:16">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c r="P356" s="14" t="s">
        <v>2523</v>
      </c>
    </row>
    <row r="357" spans="1:16">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c r="P357" s="14" t="s">
        <v>2522</v>
      </c>
    </row>
    <row r="358" spans="1:16">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c r="P358" s="14" t="s">
        <v>2521</v>
      </c>
    </row>
    <row r="359" spans="1:16">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c r="P359" s="14" t="s">
        <v>2523</v>
      </c>
    </row>
    <row r="360" spans="1:16">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c r="P360" s="14" t="s">
        <v>2521</v>
      </c>
    </row>
    <row r="361" spans="1:16">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c r="P361" s="14" t="s">
        <v>2524</v>
      </c>
    </row>
    <row r="362" spans="1:16">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c r="P362" s="14" t="s">
        <v>2521</v>
      </c>
    </row>
    <row r="363" spans="1:16">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c r="P363" s="14" t="s">
        <v>2524</v>
      </c>
    </row>
    <row r="364" spans="1:16">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c r="P364" s="14" t="s">
        <v>2522</v>
      </c>
    </row>
    <row r="365" spans="1:16">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c r="P365" s="14" t="s">
        <v>2523</v>
      </c>
    </row>
    <row r="366" spans="1:16">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c r="P366" s="14" t="s">
        <v>2522</v>
      </c>
    </row>
    <row r="367" spans="1:16">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c r="P367" s="14" t="s">
        <v>2521</v>
      </c>
    </row>
    <row r="368" spans="1:16">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c r="P368" s="14" t="s">
        <v>2523</v>
      </c>
    </row>
    <row r="369" spans="1:16">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c r="P369" s="14" t="s">
        <v>2521</v>
      </c>
    </row>
    <row r="370" spans="1:16">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c r="P370" s="14" t="s">
        <v>2524</v>
      </c>
    </row>
    <row r="371" spans="1:16">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c r="P371" s="14" t="s">
        <v>2521</v>
      </c>
    </row>
    <row r="372" spans="1:16">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c r="P372" s="14" t="s">
        <v>2524</v>
      </c>
    </row>
    <row r="373" spans="1:16">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c r="P373" s="14" t="s">
        <v>2522</v>
      </c>
    </row>
    <row r="374" spans="1:16">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c r="P374" s="14" t="s">
        <v>2523</v>
      </c>
    </row>
    <row r="375" spans="1:16">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c r="P375" s="14" t="s">
        <v>2522</v>
      </c>
    </row>
    <row r="376" spans="1:16">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c r="P376" s="14" t="s">
        <v>2521</v>
      </c>
    </row>
    <row r="377" spans="1:16">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c r="P377" s="14" t="s">
        <v>2523</v>
      </c>
    </row>
    <row r="378" spans="1:16">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c r="P378" s="14" t="s">
        <v>2521</v>
      </c>
    </row>
    <row r="379" spans="1:16">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c r="P379" s="14" t="s">
        <v>2524</v>
      </c>
    </row>
    <row r="380" spans="1:16">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c r="P380" s="14" t="s">
        <v>2521</v>
      </c>
    </row>
    <row r="381" spans="1:16">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c r="P381" s="14" t="s">
        <v>2524</v>
      </c>
    </row>
    <row r="382" spans="1:16">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c r="P382" s="14" t="s">
        <v>2522</v>
      </c>
    </row>
    <row r="383" spans="1:16">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c r="P383" s="14" t="s">
        <v>2523</v>
      </c>
    </row>
    <row r="384" spans="1:16">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c r="P384" s="14" t="s">
        <v>2522</v>
      </c>
    </row>
    <row r="385" spans="1:16">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c r="P385" s="14" t="s">
        <v>2521</v>
      </c>
    </row>
    <row r="386" spans="1:16">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c r="P386" s="14" t="s">
        <v>2523</v>
      </c>
    </row>
    <row r="387" spans="1:16">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c r="P387" s="14" t="s">
        <v>2521</v>
      </c>
    </row>
    <row r="388" spans="1:16">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c r="P388" s="14" t="s">
        <v>2524</v>
      </c>
    </row>
    <row r="389" spans="1:16">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c r="P389" s="14" t="s">
        <v>2521</v>
      </c>
    </row>
    <row r="390" spans="1:16">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c r="P390" s="14" t="s">
        <v>2524</v>
      </c>
    </row>
    <row r="391" spans="1:16">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c r="P391" s="14" t="s">
        <v>2522</v>
      </c>
    </row>
    <row r="392" spans="1:16">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c r="P392" s="14" t="s">
        <v>2523</v>
      </c>
    </row>
    <row r="393" spans="1:16">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c r="P393" s="14" t="s">
        <v>2522</v>
      </c>
    </row>
    <row r="394" spans="1:16">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c r="P394" s="14" t="s">
        <v>2521</v>
      </c>
    </row>
    <row r="395" spans="1:16">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c r="P395" s="14" t="s">
        <v>2523</v>
      </c>
    </row>
    <row r="396" spans="1:16">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c r="P396" s="14" t="s">
        <v>2521</v>
      </c>
    </row>
    <row r="397" spans="1:16">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c r="P397" s="14" t="s">
        <v>2524</v>
      </c>
    </row>
    <row r="398" spans="1:16">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c r="P398" s="14" t="s">
        <v>2521</v>
      </c>
    </row>
    <row r="399" spans="1:16">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c r="P399" s="14" t="s">
        <v>2524</v>
      </c>
    </row>
    <row r="400" spans="1:16">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c r="P400" s="14" t="s">
        <v>2522</v>
      </c>
    </row>
    <row r="401" spans="1:16">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c r="P401" s="14" t="s">
        <v>2523</v>
      </c>
    </row>
    <row r="402" spans="1:16">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c r="P402" s="14" t="s">
        <v>2522</v>
      </c>
    </row>
    <row r="403" spans="1:16">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c r="P403" s="14" t="s">
        <v>2521</v>
      </c>
    </row>
    <row r="404" spans="1:16">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c r="P404" s="14" t="s">
        <v>2523</v>
      </c>
    </row>
    <row r="405" spans="1:16">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c r="P405" s="14" t="s">
        <v>2521</v>
      </c>
    </row>
    <row r="406" spans="1:16">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c r="P406" s="14" t="s">
        <v>2524</v>
      </c>
    </row>
    <row r="407" spans="1:16">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c r="P407" s="14" t="s">
        <v>2521</v>
      </c>
    </row>
    <row r="408" spans="1:16">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c r="P408" s="14" t="s">
        <v>2524</v>
      </c>
    </row>
    <row r="409" spans="1:16">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c r="P409" s="14" t="s">
        <v>2522</v>
      </c>
    </row>
    <row r="410" spans="1:16">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c r="P410" s="14" t="s">
        <v>2523</v>
      </c>
    </row>
    <row r="411" spans="1:16">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c r="P411" s="14" t="s">
        <v>2522</v>
      </c>
    </row>
    <row r="412" spans="1:16">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c r="P412" s="14" t="s">
        <v>2521</v>
      </c>
    </row>
    <row r="413" spans="1:16">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c r="P413" s="14" t="s">
        <v>2523</v>
      </c>
    </row>
    <row r="414" spans="1:16">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c r="P414" s="14" t="s">
        <v>2521</v>
      </c>
    </row>
    <row r="415" spans="1:16">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c r="P415" s="14" t="s">
        <v>2524</v>
      </c>
    </row>
    <row r="416" spans="1:16">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c r="P416" s="14" t="s">
        <v>2521</v>
      </c>
    </row>
    <row r="417" spans="1:16">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c r="P417" s="14" t="s">
        <v>2524</v>
      </c>
    </row>
    <row r="418" spans="1:16">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c r="P418" s="14" t="s">
        <v>2522</v>
      </c>
    </row>
    <row r="419" spans="1:16">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c r="P419" s="14" t="s">
        <v>2523</v>
      </c>
    </row>
    <row r="420" spans="1:16">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c r="P420" s="14" t="s">
        <v>2522</v>
      </c>
    </row>
    <row r="421" spans="1:16">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c r="P421" s="14" t="s">
        <v>2521</v>
      </c>
    </row>
    <row r="422" spans="1:16">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c r="P422" s="14" t="s">
        <v>2523</v>
      </c>
    </row>
    <row r="423" spans="1:16">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c r="P423" s="14" t="s">
        <v>2521</v>
      </c>
    </row>
    <row r="424" spans="1:16">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c r="P424" s="14" t="s">
        <v>2524</v>
      </c>
    </row>
    <row r="425" spans="1:16">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c r="P425" s="14" t="s">
        <v>2521</v>
      </c>
    </row>
    <row r="426" spans="1:16">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c r="P426" s="14" t="s">
        <v>2524</v>
      </c>
    </row>
    <row r="427" spans="1:16">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c r="P427" s="14" t="s">
        <v>2522</v>
      </c>
    </row>
    <row r="428" spans="1:16">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c r="P428" s="14" t="s">
        <v>2523</v>
      </c>
    </row>
    <row r="429" spans="1:16">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c r="P429" s="14" t="s">
        <v>2522</v>
      </c>
    </row>
    <row r="430" spans="1:16">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c r="P430" s="14" t="s">
        <v>2521</v>
      </c>
    </row>
    <row r="431" spans="1:16">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c r="P431" s="14" t="s">
        <v>2523</v>
      </c>
    </row>
    <row r="432" spans="1:16">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c r="P432" s="14" t="s">
        <v>2521</v>
      </c>
    </row>
    <row r="433" spans="1:16">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c r="P433" s="14" t="s">
        <v>2524</v>
      </c>
    </row>
    <row r="434" spans="1:16">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c r="P434" s="14" t="s">
        <v>2521</v>
      </c>
    </row>
    <row r="435" spans="1:16">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c r="P435" s="14" t="s">
        <v>2524</v>
      </c>
    </row>
    <row r="436" spans="1:16">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c r="P436" s="14" t="s">
        <v>2522</v>
      </c>
    </row>
    <row r="437" spans="1:16">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c r="P437" s="14" t="s">
        <v>2523</v>
      </c>
    </row>
    <row r="438" spans="1:16">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c r="P438" s="14" t="s">
        <v>2522</v>
      </c>
    </row>
    <row r="439" spans="1:16">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c r="P439" s="14" t="s">
        <v>2521</v>
      </c>
    </row>
    <row r="440" spans="1:16">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c r="P440" s="14" t="s">
        <v>2523</v>
      </c>
    </row>
    <row r="441" spans="1:16">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c r="P441" s="14" t="s">
        <v>2521</v>
      </c>
    </row>
    <row r="442" spans="1:16">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c r="P442" s="14" t="s">
        <v>2524</v>
      </c>
    </row>
    <row r="443" spans="1:16">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c r="P443" s="14" t="s">
        <v>2521</v>
      </c>
    </row>
    <row r="444" spans="1:16">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c r="P444" s="14" t="s">
        <v>2524</v>
      </c>
    </row>
    <row r="445" spans="1:16">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c r="P445" s="14" t="s">
        <v>2522</v>
      </c>
    </row>
    <row r="446" spans="1:16">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c r="P446" s="14" t="s">
        <v>2523</v>
      </c>
    </row>
    <row r="447" spans="1:16">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c r="P447" s="14" t="s">
        <v>2522</v>
      </c>
    </row>
    <row r="448" spans="1:16">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c r="P448" s="14" t="s">
        <v>2521</v>
      </c>
    </row>
    <row r="449" spans="1:16">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c r="P449" s="14" t="s">
        <v>2523</v>
      </c>
    </row>
    <row r="450" spans="1:16">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c r="P450" s="14" t="s">
        <v>2521</v>
      </c>
    </row>
    <row r="451" spans="1:16">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c r="P451" s="14" t="s">
        <v>2524</v>
      </c>
    </row>
    <row r="452" spans="1:16">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c r="P452" s="14" t="s">
        <v>2521</v>
      </c>
    </row>
    <row r="453" spans="1:16">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c r="P453" s="14" t="s">
        <v>2524</v>
      </c>
    </row>
    <row r="454" spans="1:16">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c r="P454" s="14" t="s">
        <v>2522</v>
      </c>
    </row>
    <row r="455" spans="1:16">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c r="P455" s="14" t="s">
        <v>2523</v>
      </c>
    </row>
    <row r="456" spans="1:16">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c r="P456" s="14" t="s">
        <v>2522</v>
      </c>
    </row>
    <row r="457" spans="1:16">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c r="P457" s="14" t="s">
        <v>2521</v>
      </c>
    </row>
    <row r="458" spans="1:16">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c r="P458" s="14" t="s">
        <v>2523</v>
      </c>
    </row>
    <row r="459" spans="1:16">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c r="P459" s="14" t="s">
        <v>2521</v>
      </c>
    </row>
    <row r="460" spans="1:16">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c r="P460" s="14" t="s">
        <v>2524</v>
      </c>
    </row>
    <row r="461" spans="1:16">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c r="P461" s="14" t="s">
        <v>2521</v>
      </c>
    </row>
    <row r="462" spans="1:16">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c r="P462" s="14" t="s">
        <v>2524</v>
      </c>
    </row>
    <row r="463" spans="1:16">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c r="P463" s="14" t="s">
        <v>2522</v>
      </c>
    </row>
    <row r="464" spans="1:16">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c r="P464" s="14" t="s">
        <v>2523</v>
      </c>
    </row>
    <row r="465" spans="1:16">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c r="P465" s="14" t="s">
        <v>2522</v>
      </c>
    </row>
    <row r="466" spans="1:16">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c r="P466" s="14" t="s">
        <v>2521</v>
      </c>
    </row>
    <row r="467" spans="1:16">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c r="P467" s="14" t="s">
        <v>2523</v>
      </c>
    </row>
    <row r="468" spans="1:16">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c r="P468" s="14" t="s">
        <v>2521</v>
      </c>
    </row>
    <row r="469" spans="1:16">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c r="P469" s="14" t="s">
        <v>2524</v>
      </c>
    </row>
    <row r="470" spans="1:16">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c r="P470" s="14" t="s">
        <v>2521</v>
      </c>
    </row>
    <row r="471" spans="1:16">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c r="P471" s="14" t="s">
        <v>2524</v>
      </c>
    </row>
    <row r="472" spans="1:16">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c r="P472" s="14" t="s">
        <v>2522</v>
      </c>
    </row>
    <row r="473" spans="1:16">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c r="P473" s="14" t="s">
        <v>2523</v>
      </c>
    </row>
    <row r="474" spans="1:16">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c r="P474" s="14" t="s">
        <v>2522</v>
      </c>
    </row>
    <row r="475" spans="1:16">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c r="P475" s="14" t="s">
        <v>2521</v>
      </c>
    </row>
    <row r="476" spans="1:16">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c r="P476" s="14" t="s">
        <v>2523</v>
      </c>
    </row>
    <row r="477" spans="1:16">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c r="P477" s="14" t="s">
        <v>2521</v>
      </c>
    </row>
    <row r="478" spans="1:16">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c r="P478" s="14" t="s">
        <v>2524</v>
      </c>
    </row>
    <row r="479" spans="1:16">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c r="P479" s="14" t="s">
        <v>2521</v>
      </c>
    </row>
    <row r="480" spans="1:16">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c r="P480" s="14" t="s">
        <v>2524</v>
      </c>
    </row>
    <row r="481" spans="1:16">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c r="P481" s="14" t="s">
        <v>2522</v>
      </c>
    </row>
    <row r="482" spans="1:16">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c r="P482" s="14" t="s">
        <v>2523</v>
      </c>
    </row>
    <row r="483" spans="1:16">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c r="P483" s="14" t="s">
        <v>2522</v>
      </c>
    </row>
    <row r="484" spans="1:16">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c r="P484" s="14" t="s">
        <v>2521</v>
      </c>
    </row>
    <row r="485" spans="1:16">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c r="P485" s="14" t="s">
        <v>2523</v>
      </c>
    </row>
    <row r="486" spans="1:16">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c r="P486" s="14" t="s">
        <v>2521</v>
      </c>
    </row>
    <row r="487" spans="1:16">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c r="P487" s="14" t="s">
        <v>2524</v>
      </c>
    </row>
    <row r="488" spans="1:16">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c r="P488" s="14" t="s">
        <v>2521</v>
      </c>
    </row>
    <row r="489" spans="1:16">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c r="P489" s="14" t="s">
        <v>2524</v>
      </c>
    </row>
    <row r="490" spans="1:16">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c r="P490" s="14" t="s">
        <v>2522</v>
      </c>
    </row>
    <row r="491" spans="1:16">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c r="P491" s="14" t="s">
        <v>2523</v>
      </c>
    </row>
    <row r="492" spans="1:16">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c r="P492" s="14" t="s">
        <v>2522</v>
      </c>
    </row>
    <row r="493" spans="1:16">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c r="P493" s="14" t="s">
        <v>2521</v>
      </c>
    </row>
    <row r="494" spans="1:16">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c r="P494" s="14" t="s">
        <v>2523</v>
      </c>
    </row>
    <row r="495" spans="1:16">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c r="P495" s="14" t="s">
        <v>2521</v>
      </c>
    </row>
    <row r="496" spans="1:16">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c r="P496" s="14" t="s">
        <v>2524</v>
      </c>
    </row>
    <row r="497" spans="1:16">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c r="P497" s="14" t="s">
        <v>2521</v>
      </c>
    </row>
    <row r="498" spans="1:16">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c r="P498" s="14" t="s">
        <v>2524</v>
      </c>
    </row>
    <row r="499" spans="1:16">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c r="P499" s="14" t="s">
        <v>2522</v>
      </c>
    </row>
    <row r="500" spans="1:16">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c r="P500" s="14" t="s">
        <v>2523</v>
      </c>
    </row>
    <row r="501" spans="1:16">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c r="P501" s="14" t="s">
        <v>2522</v>
      </c>
    </row>
    <row r="502" spans="1:16">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c r="P502" s="14" t="s">
        <v>2521</v>
      </c>
    </row>
    <row r="503" spans="1:16">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c r="P503" s="14" t="s">
        <v>2523</v>
      </c>
    </row>
    <row r="504" spans="1:16">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c r="P504" s="14" t="s">
        <v>2521</v>
      </c>
    </row>
    <row r="505" spans="1:16">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c r="P505" s="14" t="s">
        <v>2524</v>
      </c>
    </row>
    <row r="506" spans="1:16">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c r="P506" s="14" t="s">
        <v>2521</v>
      </c>
    </row>
    <row r="507" spans="1:16">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c r="P507" s="14" t="s">
        <v>2524</v>
      </c>
    </row>
    <row r="508" spans="1:16">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c r="P508" s="14" t="s">
        <v>2522</v>
      </c>
    </row>
    <row r="509" spans="1:16">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c r="P509" s="14" t="s">
        <v>2523</v>
      </c>
    </row>
    <row r="510" spans="1:16">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c r="P510" s="14" t="s">
        <v>2522</v>
      </c>
    </row>
    <row r="511" spans="1:16">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c r="P511" s="14" t="s">
        <v>2521</v>
      </c>
    </row>
    <row r="512" spans="1:16">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c r="P512" s="14" t="s">
        <v>2523</v>
      </c>
    </row>
    <row r="513" spans="1:16">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c r="P513" s="14" t="s">
        <v>2521</v>
      </c>
    </row>
    <row r="514" spans="1:16">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c r="P514" s="14" t="s">
        <v>2524</v>
      </c>
    </row>
    <row r="515" spans="1:16">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c r="P515" s="14" t="s">
        <v>2521</v>
      </c>
    </row>
    <row r="516" spans="1:16">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c r="P516" s="14" t="s">
        <v>2524</v>
      </c>
    </row>
    <row r="517" spans="1:16">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c r="P517" s="14" t="s">
        <v>2522</v>
      </c>
    </row>
    <row r="518" spans="1:16">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c r="P518" s="14" t="s">
        <v>2523</v>
      </c>
    </row>
    <row r="519" spans="1:16">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c r="P519" s="14" t="s">
        <v>2522</v>
      </c>
    </row>
    <row r="520" spans="1:16">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c r="P520" s="14" t="s">
        <v>2521</v>
      </c>
    </row>
    <row r="521" spans="1:16">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c r="P521" s="14" t="s">
        <v>2523</v>
      </c>
    </row>
    <row r="522" spans="1:16">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c r="P522" s="14" t="s">
        <v>2521</v>
      </c>
    </row>
    <row r="523" spans="1:16">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c r="P523" s="14" t="s">
        <v>2524</v>
      </c>
    </row>
    <row r="524" spans="1:16">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c r="P524" s="14" t="s">
        <v>2521</v>
      </c>
    </row>
    <row r="525" spans="1:16">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c r="P525" s="14" t="s">
        <v>2524</v>
      </c>
    </row>
    <row r="526" spans="1:16">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c r="P526" s="14" t="s">
        <v>2522</v>
      </c>
    </row>
    <row r="527" spans="1:16">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c r="P527" s="14" t="s">
        <v>2523</v>
      </c>
    </row>
    <row r="528" spans="1:16">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c r="P528" s="14" t="s">
        <v>2522</v>
      </c>
    </row>
    <row r="529" spans="1:16">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c r="P529" s="14" t="s">
        <v>2521</v>
      </c>
    </row>
    <row r="530" spans="1:16">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c r="P530" s="14" t="s">
        <v>2523</v>
      </c>
    </row>
    <row r="531" spans="1:16">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c r="P531" s="14" t="s">
        <v>2521</v>
      </c>
    </row>
    <row r="532" spans="1:16">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c r="P532" s="14" t="s">
        <v>2524</v>
      </c>
    </row>
    <row r="533" spans="1:16">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c r="P533" s="14" t="s">
        <v>2521</v>
      </c>
    </row>
    <row r="534" spans="1:16">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c r="P534" s="14" t="s">
        <v>2524</v>
      </c>
    </row>
    <row r="535" spans="1:16">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c r="P535" s="14" t="s">
        <v>2522</v>
      </c>
    </row>
    <row r="536" spans="1:16">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c r="P536" s="14" t="s">
        <v>2523</v>
      </c>
    </row>
    <row r="537" spans="1:16">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c r="P537" s="14" t="s">
        <v>2522</v>
      </c>
    </row>
    <row r="538" spans="1:16">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c r="P538" s="14" t="s">
        <v>2521</v>
      </c>
    </row>
    <row r="539" spans="1:16">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c r="P539" s="14" t="s">
        <v>2523</v>
      </c>
    </row>
    <row r="540" spans="1:16">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c r="P540" s="14" t="s">
        <v>2521</v>
      </c>
    </row>
    <row r="541" spans="1:16">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c r="P541" s="14" t="s">
        <v>2524</v>
      </c>
    </row>
    <row r="542" spans="1:16">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c r="P542" s="14" t="s">
        <v>2521</v>
      </c>
    </row>
    <row r="543" spans="1:16">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c r="P543" s="14" t="s">
        <v>2524</v>
      </c>
    </row>
    <row r="544" spans="1:16">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c r="P544" s="14" t="s">
        <v>2522</v>
      </c>
    </row>
    <row r="545" spans="1:16">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c r="P545" s="14" t="s">
        <v>2523</v>
      </c>
    </row>
    <row r="546" spans="1:16">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c r="P546" s="14" t="s">
        <v>2522</v>
      </c>
    </row>
    <row r="547" spans="1:16">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c r="P547" s="14" t="s">
        <v>2521</v>
      </c>
    </row>
    <row r="548" spans="1:16">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c r="P548" s="14" t="s">
        <v>2523</v>
      </c>
    </row>
    <row r="549" spans="1:16">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c r="P549" s="14" t="s">
        <v>2521</v>
      </c>
    </row>
    <row r="550" spans="1:16">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c r="P550" s="14" t="s">
        <v>2524</v>
      </c>
    </row>
    <row r="551" spans="1:16">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c r="P551" s="14" t="s">
        <v>2521</v>
      </c>
    </row>
    <row r="552" spans="1:16">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c r="P552" s="14" t="s">
        <v>2524</v>
      </c>
    </row>
    <row r="553" spans="1:16">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c r="P553" s="14" t="s">
        <v>2522</v>
      </c>
    </row>
    <row r="554" spans="1:16">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c r="P554" s="14" t="s">
        <v>2523</v>
      </c>
    </row>
    <row r="555" spans="1:16">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c r="P555" s="14" t="s">
        <v>2522</v>
      </c>
    </row>
    <row r="556" spans="1:16">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c r="P556" s="14" t="s">
        <v>2521</v>
      </c>
    </row>
    <row r="557" spans="1:16">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c r="P557" s="14" t="s">
        <v>2523</v>
      </c>
    </row>
    <row r="558" spans="1:16">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c r="P558" s="14" t="s">
        <v>2521</v>
      </c>
    </row>
    <row r="559" spans="1:16">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c r="P559" s="14" t="s">
        <v>2524</v>
      </c>
    </row>
    <row r="560" spans="1:16">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c r="P560" s="14" t="s">
        <v>2521</v>
      </c>
    </row>
    <row r="561" spans="1:16">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c r="P561" s="14" t="s">
        <v>2524</v>
      </c>
    </row>
    <row r="562" spans="1:16">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c r="P562" s="14" t="s">
        <v>2522</v>
      </c>
    </row>
    <row r="563" spans="1:16">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c r="P563" s="14" t="s">
        <v>2523</v>
      </c>
    </row>
    <row r="564" spans="1:16">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c r="P564" s="14" t="s">
        <v>2522</v>
      </c>
    </row>
    <row r="565" spans="1:16">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c r="P565" s="14" t="s">
        <v>2521</v>
      </c>
    </row>
    <row r="566" spans="1:16">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c r="P566" s="14" t="s">
        <v>2523</v>
      </c>
    </row>
    <row r="567" spans="1:16">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c r="P567" s="14" t="s">
        <v>2521</v>
      </c>
    </row>
    <row r="568" spans="1:16">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c r="P568" s="14" t="s">
        <v>2524</v>
      </c>
    </row>
    <row r="569" spans="1:16">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c r="P569" s="14" t="s">
        <v>2521</v>
      </c>
    </row>
    <row r="570" spans="1:16">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c r="P570" s="14" t="s">
        <v>2524</v>
      </c>
    </row>
    <row r="571" spans="1:16">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c r="P571" s="14" t="s">
        <v>2522</v>
      </c>
    </row>
    <row r="572" spans="1:16">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c r="P572" s="14" t="s">
        <v>2523</v>
      </c>
    </row>
    <row r="573" spans="1:16">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c r="P573" s="14" t="s">
        <v>2522</v>
      </c>
    </row>
    <row r="574" spans="1:16">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c r="P574" s="14" t="s">
        <v>2521</v>
      </c>
    </row>
    <row r="575" spans="1:16">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c r="P575" s="14" t="s">
        <v>2523</v>
      </c>
    </row>
    <row r="576" spans="1:16">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c r="P576" s="14" t="s">
        <v>2521</v>
      </c>
    </row>
    <row r="577" spans="1:16">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c r="P577" s="14" t="s">
        <v>2524</v>
      </c>
    </row>
    <row r="578" spans="1:16">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c r="P578" s="14" t="s">
        <v>2521</v>
      </c>
    </row>
    <row r="579" spans="1:16">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c r="P579" s="14" t="s">
        <v>2524</v>
      </c>
    </row>
    <row r="580" spans="1:16">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c r="P580" s="14" t="s">
        <v>2522</v>
      </c>
    </row>
    <row r="581" spans="1:16">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c r="P581" s="14" t="s">
        <v>2523</v>
      </c>
    </row>
    <row r="582" spans="1:16">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c r="P582" s="14" t="s">
        <v>2522</v>
      </c>
    </row>
    <row r="583" spans="1:16">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c r="P583" s="14" t="s">
        <v>2521</v>
      </c>
    </row>
    <row r="584" spans="1:16">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c r="P584" s="14" t="s">
        <v>2523</v>
      </c>
    </row>
    <row r="585" spans="1:16">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c r="P585" s="14" t="s">
        <v>2521</v>
      </c>
    </row>
    <row r="586" spans="1:16">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c r="P586" s="14" t="s">
        <v>2524</v>
      </c>
    </row>
    <row r="587" spans="1:16">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c r="P587" s="14" t="s">
        <v>2521</v>
      </c>
    </row>
    <row r="588" spans="1:16">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c r="P588" s="14" t="s">
        <v>2524</v>
      </c>
    </row>
    <row r="589" spans="1:16">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c r="P589" s="14" t="s">
        <v>2522</v>
      </c>
    </row>
    <row r="590" spans="1:16">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c r="P590" s="14" t="s">
        <v>2523</v>
      </c>
    </row>
    <row r="591" spans="1:16">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c r="P591" s="14" t="s">
        <v>2522</v>
      </c>
    </row>
    <row r="592" spans="1:16">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c r="P592" s="14" t="s">
        <v>2521</v>
      </c>
    </row>
    <row r="593" spans="1:16">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c r="P593" s="14" t="s">
        <v>2523</v>
      </c>
    </row>
    <row r="594" spans="1:16">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c r="P594" s="14" t="s">
        <v>2521</v>
      </c>
    </row>
    <row r="595" spans="1:16">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c r="P595" s="14" t="s">
        <v>2524</v>
      </c>
    </row>
    <row r="596" spans="1:16">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c r="P596" s="14" t="s">
        <v>2521</v>
      </c>
    </row>
    <row r="597" spans="1:16">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c r="P597" s="14" t="s">
        <v>2524</v>
      </c>
    </row>
    <row r="598" spans="1:16">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c r="P598" s="14" t="s">
        <v>2522</v>
      </c>
    </row>
    <row r="599" spans="1:16">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c r="P599" s="14" t="s">
        <v>2523</v>
      </c>
    </row>
    <row r="600" spans="1:16">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c r="P600" s="14" t="s">
        <v>2522</v>
      </c>
    </row>
    <row r="601" spans="1:16">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c r="P601" s="14" t="s">
        <v>2521</v>
      </c>
    </row>
    <row r="602" spans="1:16">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c r="P602" s="14" t="s">
        <v>2523</v>
      </c>
    </row>
    <row r="603" spans="1:16">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c r="P603" s="14" t="s">
        <v>2521</v>
      </c>
    </row>
    <row r="604" spans="1:16">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c r="P604" s="14" t="s">
        <v>2524</v>
      </c>
    </row>
    <row r="605" spans="1:16">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c r="P605" s="14" t="s">
        <v>2521</v>
      </c>
    </row>
    <row r="606" spans="1:16">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c r="P606" s="14" t="s">
        <v>2524</v>
      </c>
    </row>
    <row r="607" spans="1:16">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c r="P607" s="14" t="s">
        <v>2522</v>
      </c>
    </row>
    <row r="608" spans="1:16">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c r="P608" s="14" t="s">
        <v>2523</v>
      </c>
    </row>
    <row r="609" spans="1:16">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c r="P609" s="14" t="s">
        <v>2522</v>
      </c>
    </row>
    <row r="610" spans="1:16">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c r="P610" s="14" t="s">
        <v>2521</v>
      </c>
    </row>
    <row r="611" spans="1:16">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c r="P611" s="14" t="s">
        <v>2523</v>
      </c>
    </row>
    <row r="612" spans="1:16">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c r="P612" s="14" t="s">
        <v>2521</v>
      </c>
    </row>
    <row r="613" spans="1:16">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c r="P613" s="14" t="s">
        <v>2524</v>
      </c>
    </row>
    <row r="614" spans="1:16">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c r="P614" s="14" t="s">
        <v>2521</v>
      </c>
    </row>
    <row r="615" spans="1:16">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c r="P615" s="14" t="s">
        <v>2524</v>
      </c>
    </row>
    <row r="616" spans="1:16">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c r="P616" s="14" t="s">
        <v>2522</v>
      </c>
    </row>
    <row r="617" spans="1:16">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c r="P617" s="14" t="s">
        <v>2523</v>
      </c>
    </row>
    <row r="618" spans="1:16">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c r="P618" s="14" t="s">
        <v>2522</v>
      </c>
    </row>
    <row r="619" spans="1:16">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c r="P619" s="14" t="s">
        <v>2521</v>
      </c>
    </row>
    <row r="620" spans="1:16">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c r="P620" s="14" t="s">
        <v>2523</v>
      </c>
    </row>
    <row r="621" spans="1:16">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c r="P621" s="14" t="s">
        <v>2521</v>
      </c>
    </row>
    <row r="622" spans="1:16">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c r="P622" s="14" t="s">
        <v>2524</v>
      </c>
    </row>
    <row r="623" spans="1:16">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c r="P623" s="14" t="s">
        <v>2521</v>
      </c>
    </row>
    <row r="624" spans="1:16">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c r="P624" s="14" t="s">
        <v>2524</v>
      </c>
    </row>
    <row r="625" spans="1:16">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c r="P625" s="14" t="s">
        <v>2522</v>
      </c>
    </row>
    <row r="626" spans="1:16">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c r="P626" s="14" t="s">
        <v>2523</v>
      </c>
    </row>
    <row r="627" spans="1:16">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c r="P627" s="14" t="s">
        <v>2522</v>
      </c>
    </row>
    <row r="628" spans="1:16">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c r="P628" s="14" t="s">
        <v>2521</v>
      </c>
    </row>
    <row r="629" spans="1:16">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c r="P629" s="14" t="s">
        <v>2523</v>
      </c>
    </row>
    <row r="630" spans="1:16">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c r="P630" s="14" t="s">
        <v>2521</v>
      </c>
    </row>
    <row r="631" spans="1:16">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c r="P631" s="14" t="s">
        <v>2524</v>
      </c>
    </row>
    <row r="632" spans="1:16">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c r="P632" s="14" t="s">
        <v>2521</v>
      </c>
    </row>
    <row r="633" spans="1:16">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c r="P633" s="14" t="s">
        <v>2524</v>
      </c>
    </row>
    <row r="634" spans="1:16">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c r="P634" s="14" t="s">
        <v>2522</v>
      </c>
    </row>
    <row r="635" spans="1:16">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c r="P635" s="14" t="s">
        <v>2523</v>
      </c>
    </row>
    <row r="636" spans="1:16">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c r="P636" s="14" t="s">
        <v>2522</v>
      </c>
    </row>
    <row r="637" spans="1:16">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c r="P637" s="14" t="s">
        <v>2521</v>
      </c>
    </row>
    <row r="638" spans="1:16">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c r="P638" s="14" t="s">
        <v>2523</v>
      </c>
    </row>
    <row r="639" spans="1:16">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c r="P639" s="14" t="s">
        <v>2521</v>
      </c>
    </row>
    <row r="640" spans="1:16">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c r="P640" s="14" t="s">
        <v>2524</v>
      </c>
    </row>
    <row r="641" spans="1:16">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c r="P641" s="14" t="s">
        <v>2521</v>
      </c>
    </row>
    <row r="642" spans="1:16">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c r="P642" s="14" t="s">
        <v>2524</v>
      </c>
    </row>
    <row r="643" spans="1:16">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c r="P643" s="14" t="s">
        <v>2522</v>
      </c>
    </row>
    <row r="644" spans="1:16">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c r="P644" s="14" t="s">
        <v>2523</v>
      </c>
    </row>
    <row r="645" spans="1:16">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c r="P645" s="14" t="s">
        <v>2522</v>
      </c>
    </row>
    <row r="646" spans="1:16">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c r="P646" s="14" t="s">
        <v>2521</v>
      </c>
    </row>
    <row r="647" spans="1:16">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c r="P647" s="14" t="s">
        <v>2523</v>
      </c>
    </row>
    <row r="648" spans="1:16">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c r="P648" s="14" t="s">
        <v>2521</v>
      </c>
    </row>
    <row r="649" spans="1:16">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c r="P649" s="14" t="s">
        <v>2524</v>
      </c>
    </row>
    <row r="650" spans="1:16">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c r="P650" s="14" t="s">
        <v>2521</v>
      </c>
    </row>
    <row r="651" spans="1:16">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c r="P651" s="14" t="s">
        <v>2524</v>
      </c>
    </row>
    <row r="652" spans="1:16">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c r="P652" s="14" t="s">
        <v>2522</v>
      </c>
    </row>
    <row r="653" spans="1:16">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c r="P653" s="14" t="s">
        <v>2523</v>
      </c>
    </row>
    <row r="654" spans="1:16">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c r="P654" s="14" t="s">
        <v>2522</v>
      </c>
    </row>
    <row r="655" spans="1:16">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c r="P655" s="14" t="s">
        <v>2521</v>
      </c>
    </row>
    <row r="656" spans="1:16">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c r="P656" s="14" t="s">
        <v>2523</v>
      </c>
    </row>
    <row r="657" spans="1:16">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c r="P657" s="14" t="s">
        <v>2521</v>
      </c>
    </row>
    <row r="658" spans="1:16">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c r="P658" s="14" t="s">
        <v>2524</v>
      </c>
    </row>
    <row r="659" spans="1:16">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c r="P659" s="14" t="s">
        <v>2521</v>
      </c>
    </row>
    <row r="660" spans="1:16">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c r="P660" s="14" t="s">
        <v>2524</v>
      </c>
    </row>
    <row r="661" spans="1:16">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c r="P661" s="14" t="s">
        <v>2522</v>
      </c>
    </row>
    <row r="662" spans="1:16">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c r="P662" s="14" t="s">
        <v>2523</v>
      </c>
    </row>
    <row r="663" spans="1:16">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c r="P663" s="14" t="s">
        <v>2522</v>
      </c>
    </row>
    <row r="664" spans="1:16">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c r="P664" s="14" t="s">
        <v>2521</v>
      </c>
    </row>
    <row r="665" spans="1:16">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c r="P665" s="14" t="s">
        <v>2523</v>
      </c>
    </row>
    <row r="666" spans="1:16">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c r="P666" s="14" t="s">
        <v>2521</v>
      </c>
    </row>
    <row r="667" spans="1:16">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c r="P667" s="14" t="s">
        <v>2524</v>
      </c>
    </row>
    <row r="668" spans="1:16">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c r="P668" s="14" t="s">
        <v>2521</v>
      </c>
    </row>
    <row r="669" spans="1:16">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c r="P669" s="14" t="s">
        <v>2524</v>
      </c>
    </row>
    <row r="670" spans="1:16">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c r="P670" s="14" t="s">
        <v>2522</v>
      </c>
    </row>
    <row r="671" spans="1:16">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c r="P671" s="14" t="s">
        <v>2523</v>
      </c>
    </row>
    <row r="672" spans="1:16">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c r="P672" s="14" t="s">
        <v>2522</v>
      </c>
    </row>
    <row r="673" spans="1:16">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c r="P673" s="14" t="s">
        <v>2521</v>
      </c>
    </row>
    <row r="674" spans="1:16">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c r="P674" s="14" t="s">
        <v>2523</v>
      </c>
    </row>
    <row r="675" spans="1:16">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c r="P675" s="14" t="s">
        <v>2521</v>
      </c>
    </row>
    <row r="676" spans="1:16">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c r="P676" s="14" t="s">
        <v>2524</v>
      </c>
    </row>
    <row r="677" spans="1:16">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c r="P677" s="14" t="s">
        <v>2521</v>
      </c>
    </row>
    <row r="678" spans="1:16">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c r="P678" s="14" t="s">
        <v>2524</v>
      </c>
    </row>
    <row r="679" spans="1:16">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c r="P679" s="14" t="s">
        <v>2522</v>
      </c>
    </row>
    <row r="680" spans="1:16">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c r="P680" s="14" t="s">
        <v>2523</v>
      </c>
    </row>
    <row r="681" spans="1:16">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c r="P681" s="14" t="s">
        <v>2522</v>
      </c>
    </row>
    <row r="682" spans="1:16">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c r="P682" s="14" t="s">
        <v>2521</v>
      </c>
    </row>
    <row r="683" spans="1:16">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c r="P683" s="14" t="s">
        <v>2523</v>
      </c>
    </row>
    <row r="684" spans="1:16">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c r="P684" s="14" t="s">
        <v>2521</v>
      </c>
    </row>
    <row r="685" spans="1:16">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c r="P685" s="14" t="s">
        <v>2524</v>
      </c>
    </row>
    <row r="686" spans="1:16">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c r="P686" s="14" t="s">
        <v>2521</v>
      </c>
    </row>
    <row r="687" spans="1:16">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c r="P687" s="14" t="s">
        <v>2524</v>
      </c>
    </row>
    <row r="688" spans="1:16">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c r="P688" s="14" t="s">
        <v>2522</v>
      </c>
    </row>
    <row r="689" spans="1:16">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c r="P689" s="14" t="s">
        <v>2523</v>
      </c>
    </row>
    <row r="690" spans="1:16">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c r="P690" s="14" t="s">
        <v>2522</v>
      </c>
    </row>
    <row r="691" spans="1:16">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c r="P691" s="14" t="s">
        <v>2521</v>
      </c>
    </row>
    <row r="692" spans="1:16">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c r="P692" s="14" t="s">
        <v>2523</v>
      </c>
    </row>
    <row r="693" spans="1:16">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c r="P693" s="14" t="s">
        <v>2521</v>
      </c>
    </row>
    <row r="694" spans="1:16">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c r="P694" s="14" t="s">
        <v>2524</v>
      </c>
    </row>
    <row r="695" spans="1:16">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c r="P695" s="14" t="s">
        <v>2521</v>
      </c>
    </row>
    <row r="696" spans="1:16">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c r="P696" s="14" t="s">
        <v>2524</v>
      </c>
    </row>
    <row r="697" spans="1:16">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c r="P697" s="14" t="s">
        <v>2522</v>
      </c>
    </row>
    <row r="698" spans="1:16">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c r="P698" s="14" t="s">
        <v>2523</v>
      </c>
    </row>
    <row r="699" spans="1:16">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c r="P699" s="14" t="s">
        <v>2522</v>
      </c>
    </row>
    <row r="700" spans="1:16">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c r="P700" s="14" t="s">
        <v>2521</v>
      </c>
    </row>
    <row r="701" spans="1:16">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c r="P701" s="14" t="s">
        <v>2523</v>
      </c>
    </row>
    <row r="702" spans="1:16">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c r="P702" s="14" t="s">
        <v>2521</v>
      </c>
    </row>
    <row r="703" spans="1:16">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c r="P703" s="14" t="s">
        <v>2524</v>
      </c>
    </row>
    <row r="704" spans="1:16">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c r="P704" s="14" t="s">
        <v>2521</v>
      </c>
    </row>
    <row r="705" spans="1:16">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c r="P705" s="14" t="s">
        <v>2524</v>
      </c>
    </row>
    <row r="706" spans="1:16">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c r="P706" s="14" t="s">
        <v>2522</v>
      </c>
    </row>
    <row r="707" spans="1:16">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c r="P707" s="14" t="s">
        <v>2523</v>
      </c>
    </row>
    <row r="708" spans="1:16">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c r="P708" s="14" t="s">
        <v>2522</v>
      </c>
    </row>
    <row r="709" spans="1:16">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c r="P709" s="14" t="s">
        <v>2521</v>
      </c>
    </row>
    <row r="710" spans="1:16">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c r="P710" s="14" t="s">
        <v>2523</v>
      </c>
    </row>
    <row r="711" spans="1:16">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c r="P711" s="14" t="s">
        <v>2521</v>
      </c>
    </row>
    <row r="712" spans="1:16">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c r="P712" s="14" t="s">
        <v>2524</v>
      </c>
    </row>
    <row r="713" spans="1:16">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c r="P713" s="14" t="s">
        <v>2521</v>
      </c>
    </row>
    <row r="714" spans="1:16">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c r="P714" s="14" t="s">
        <v>2524</v>
      </c>
    </row>
    <row r="715" spans="1:16">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c r="P715" s="14" t="s">
        <v>2522</v>
      </c>
    </row>
    <row r="716" spans="1:16">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c r="P716" s="14" t="s">
        <v>2523</v>
      </c>
    </row>
    <row r="717" spans="1:16">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c r="P717" s="14" t="s">
        <v>2522</v>
      </c>
    </row>
    <row r="718" spans="1:16">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c r="P718" s="14" t="s">
        <v>2521</v>
      </c>
    </row>
    <row r="719" spans="1:16">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c r="P719" s="14" t="s">
        <v>2523</v>
      </c>
    </row>
    <row r="720" spans="1:16">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c r="P720" s="14" t="s">
        <v>2521</v>
      </c>
    </row>
    <row r="721" spans="1:16">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c r="P721" s="14" t="s">
        <v>2524</v>
      </c>
    </row>
    <row r="722" spans="1:16">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c r="P722" s="14" t="s">
        <v>2521</v>
      </c>
    </row>
    <row r="723" spans="1:16">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c r="P723" s="14" t="s">
        <v>2524</v>
      </c>
    </row>
    <row r="724" spans="1:16">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c r="P724" s="14" t="s">
        <v>2522</v>
      </c>
    </row>
    <row r="725" spans="1:16">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c r="P725" s="14" t="s">
        <v>2523</v>
      </c>
    </row>
    <row r="726" spans="1:16">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c r="P726" s="14" t="s">
        <v>2522</v>
      </c>
    </row>
    <row r="727" spans="1:16">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c r="P727" s="14" t="s">
        <v>2521</v>
      </c>
    </row>
    <row r="728" spans="1:16">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c r="P728" s="14" t="s">
        <v>2523</v>
      </c>
    </row>
    <row r="729" spans="1:16">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c r="P729" s="14" t="s">
        <v>2521</v>
      </c>
    </row>
    <row r="730" spans="1:16">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c r="P730" s="14" t="s">
        <v>2524</v>
      </c>
    </row>
    <row r="731" spans="1:16">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c r="P731" s="14" t="s">
        <v>2521</v>
      </c>
    </row>
    <row r="732" spans="1:16">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c r="P732" s="14" t="s">
        <v>2524</v>
      </c>
    </row>
    <row r="733" spans="1:16">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c r="P733" s="14" t="s">
        <v>2522</v>
      </c>
    </row>
    <row r="734" spans="1:16">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c r="P734" s="14" t="s">
        <v>2523</v>
      </c>
    </row>
    <row r="735" spans="1:16">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c r="P735" s="14" t="s">
        <v>2522</v>
      </c>
    </row>
    <row r="736" spans="1:16">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c r="P736" s="14" t="s">
        <v>2521</v>
      </c>
    </row>
    <row r="737" spans="1:16">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c r="P737" s="14" t="s">
        <v>2523</v>
      </c>
    </row>
    <row r="738" spans="1:16">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c r="P738" s="14" t="s">
        <v>2521</v>
      </c>
    </row>
    <row r="739" spans="1:16">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c r="P739" s="14" t="s">
        <v>2524</v>
      </c>
    </row>
    <row r="740" spans="1:16">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c r="P740" s="14" t="s">
        <v>2521</v>
      </c>
    </row>
    <row r="741" spans="1:16">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c r="P741" s="14" t="s">
        <v>2524</v>
      </c>
    </row>
    <row r="742" spans="1:16">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c r="P742" s="14" t="s">
        <v>2522</v>
      </c>
    </row>
    <row r="743" spans="1:16">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c r="P743" s="14" t="s">
        <v>2523</v>
      </c>
    </row>
    <row r="744" spans="1:16">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c r="P744" s="14" t="s">
        <v>2522</v>
      </c>
    </row>
    <row r="745" spans="1:16">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c r="P745" s="14" t="s">
        <v>2521</v>
      </c>
    </row>
    <row r="746" spans="1:16">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c r="P746" s="14" t="s">
        <v>2523</v>
      </c>
    </row>
    <row r="747" spans="1:16">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c r="P747" s="14" t="s">
        <v>2521</v>
      </c>
    </row>
    <row r="748" spans="1:16">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c r="P748" s="14" t="s">
        <v>2524</v>
      </c>
    </row>
    <row r="749" spans="1:16">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c r="P749" s="14" t="s">
        <v>2521</v>
      </c>
    </row>
    <row r="750" spans="1:16">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c r="P750" s="14" t="s">
        <v>2524</v>
      </c>
    </row>
    <row r="751" spans="1:16">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c r="P751" s="14" t="s">
        <v>2522</v>
      </c>
    </row>
    <row r="752" spans="1:16">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c r="P752" s="14" t="s">
        <v>2523</v>
      </c>
    </row>
    <row r="753" spans="1:16">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c r="P753" s="14" t="s">
        <v>2522</v>
      </c>
    </row>
    <row r="754" spans="1:16">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c r="P754" s="14" t="s">
        <v>2521</v>
      </c>
    </row>
    <row r="755" spans="1:16">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c r="P755" s="14" t="s">
        <v>2523</v>
      </c>
    </row>
    <row r="756" spans="1:16">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c r="P756" s="14" t="s">
        <v>2521</v>
      </c>
    </row>
    <row r="757" spans="1:16">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c r="P757" s="14" t="s">
        <v>2524</v>
      </c>
    </row>
    <row r="758" spans="1:16">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c r="P758" s="14" t="s">
        <v>2521</v>
      </c>
    </row>
    <row r="759" spans="1:16">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c r="P759" s="14" t="s">
        <v>2524</v>
      </c>
    </row>
    <row r="760" spans="1:16">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c r="P760" s="14" t="s">
        <v>2522</v>
      </c>
    </row>
    <row r="761" spans="1:16">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c r="P761" s="14" t="s">
        <v>2523</v>
      </c>
    </row>
    <row r="762" spans="1:16">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c r="P762" s="14" t="s">
        <v>2522</v>
      </c>
    </row>
    <row r="763" spans="1:16">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c r="P763" s="14" t="s">
        <v>2521</v>
      </c>
    </row>
    <row r="764" spans="1:16">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c r="P764" s="14" t="s">
        <v>2523</v>
      </c>
    </row>
    <row r="765" spans="1:16">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c r="P765" s="14" t="s">
        <v>2521</v>
      </c>
    </row>
    <row r="766" spans="1:16">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c r="P766" s="14" t="s">
        <v>2524</v>
      </c>
    </row>
    <row r="767" spans="1:16">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c r="P767" s="14" t="s">
        <v>2521</v>
      </c>
    </row>
    <row r="768" spans="1:16">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c r="P768" s="14" t="s">
        <v>2524</v>
      </c>
    </row>
    <row r="769" spans="1:16">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c r="P769" s="14" t="s">
        <v>2522</v>
      </c>
    </row>
    <row r="770" spans="1:16">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c r="P770" s="14" t="s">
        <v>2523</v>
      </c>
    </row>
    <row r="771" spans="1:16">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c r="P771" s="14" t="s">
        <v>2522</v>
      </c>
    </row>
    <row r="772" spans="1:16">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c r="P772" s="14" t="s">
        <v>2521</v>
      </c>
    </row>
    <row r="773" spans="1:16">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c r="P773" s="14" t="s">
        <v>2523</v>
      </c>
    </row>
    <row r="774" spans="1:16">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c r="P774" s="14" t="s">
        <v>2521</v>
      </c>
    </row>
    <row r="775" spans="1:16">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c r="P775" s="14" t="s">
        <v>2524</v>
      </c>
    </row>
    <row r="776" spans="1:16">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c r="P776" s="14" t="s">
        <v>2521</v>
      </c>
    </row>
    <row r="777" spans="1:16">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c r="P777" s="14" t="s">
        <v>2524</v>
      </c>
    </row>
    <row r="778" spans="1:16">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c r="P778" s="14" t="s">
        <v>2522</v>
      </c>
    </row>
    <row r="779" spans="1:16">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c r="P779" s="14" t="s">
        <v>2523</v>
      </c>
    </row>
    <row r="780" spans="1:16">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c r="P780" s="14" t="s">
        <v>2522</v>
      </c>
    </row>
    <row r="781" spans="1:16">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c r="P781" s="14" t="s">
        <v>2521</v>
      </c>
    </row>
    <row r="782" spans="1:16">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c r="P782" s="14" t="s">
        <v>2523</v>
      </c>
    </row>
    <row r="783" spans="1:16">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c r="P783" s="14" t="s">
        <v>2521</v>
      </c>
    </row>
    <row r="784" spans="1:16">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c r="P784" s="14" t="s">
        <v>2524</v>
      </c>
    </row>
    <row r="785" spans="1:16">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c r="P785" s="14" t="s">
        <v>2521</v>
      </c>
    </row>
    <row r="786" spans="1:16">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c r="P786" s="14" t="s">
        <v>2524</v>
      </c>
    </row>
    <row r="787" spans="1:16">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c r="P787" s="14" t="s">
        <v>2522</v>
      </c>
    </row>
    <row r="788" spans="1:16">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c r="P788" s="14" t="s">
        <v>2523</v>
      </c>
    </row>
    <row r="789" spans="1:16">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c r="P789" s="14" t="s">
        <v>2522</v>
      </c>
    </row>
    <row r="790" spans="1:16">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c r="P790" s="14" t="s">
        <v>2521</v>
      </c>
    </row>
    <row r="791" spans="1:16">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c r="P791" s="14" t="s">
        <v>2523</v>
      </c>
    </row>
    <row r="792" spans="1:16">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c r="P792" s="14" t="s">
        <v>2521</v>
      </c>
    </row>
    <row r="793" spans="1:16">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c r="P793" s="14" t="s">
        <v>2524</v>
      </c>
    </row>
    <row r="794" spans="1:16">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c r="P794" s="14" t="s">
        <v>2521</v>
      </c>
    </row>
    <row r="795" spans="1:16">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c r="P795" s="14" t="s">
        <v>2524</v>
      </c>
    </row>
    <row r="796" spans="1:16">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c r="P796" s="14" t="s">
        <v>2522</v>
      </c>
    </row>
    <row r="797" spans="1:16">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c r="P797" s="14" t="s">
        <v>2523</v>
      </c>
    </row>
    <row r="798" spans="1:16">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c r="P798" s="14" t="s">
        <v>2522</v>
      </c>
    </row>
    <row r="799" spans="1:16">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c r="P799" s="14" t="s">
        <v>2521</v>
      </c>
    </row>
    <row r="800" spans="1:16">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c r="P800" s="14" t="s">
        <v>2523</v>
      </c>
    </row>
    <row r="801" spans="1:16">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c r="P801" s="14" t="s">
        <v>2521</v>
      </c>
    </row>
    <row r="802" spans="1:16">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c r="P802" s="14" t="s">
        <v>2524</v>
      </c>
    </row>
    <row r="803" spans="1:16">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c r="P803" s="14" t="s">
        <v>2521</v>
      </c>
    </row>
    <row r="804" spans="1:16">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c r="P804" s="14" t="s">
        <v>2524</v>
      </c>
    </row>
    <row r="805" spans="1:16">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c r="P805" s="14" t="s">
        <v>2522</v>
      </c>
    </row>
    <row r="806" spans="1:16">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c r="P806" s="14" t="s">
        <v>2523</v>
      </c>
    </row>
    <row r="807" spans="1:16">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c r="P807" s="14" t="s">
        <v>2522</v>
      </c>
    </row>
    <row r="808" spans="1:16">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c r="P808" s="14" t="s">
        <v>2521</v>
      </c>
    </row>
    <row r="809" spans="1:16">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c r="P809" s="14" t="s">
        <v>2523</v>
      </c>
    </row>
    <row r="810" spans="1:16">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c r="P810" s="14" t="s">
        <v>2521</v>
      </c>
    </row>
    <row r="811" spans="1:16">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c r="P811" s="14" t="s">
        <v>2524</v>
      </c>
    </row>
    <row r="812" spans="1:16">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c r="P812" s="14" t="s">
        <v>2521</v>
      </c>
    </row>
    <row r="813" spans="1:16">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c r="P813" s="14" t="s">
        <v>2524</v>
      </c>
    </row>
    <row r="814" spans="1:16">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c r="P814" s="14" t="s">
        <v>2522</v>
      </c>
    </row>
    <row r="815" spans="1:16">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c r="P815" s="14" t="s">
        <v>2523</v>
      </c>
    </row>
    <row r="816" spans="1:16">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c r="P816" s="14" t="s">
        <v>2522</v>
      </c>
    </row>
    <row r="817" spans="1:16">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c r="P817" s="14" t="s">
        <v>2521</v>
      </c>
    </row>
    <row r="818" spans="1:16">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c r="P818" s="14" t="s">
        <v>2523</v>
      </c>
    </row>
    <row r="819" spans="1:16">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c r="P819" s="14" t="s">
        <v>2521</v>
      </c>
    </row>
    <row r="820" spans="1:16">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c r="P820" s="14" t="s">
        <v>2524</v>
      </c>
    </row>
    <row r="821" spans="1:16">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c r="P821" s="14" t="s">
        <v>2521</v>
      </c>
    </row>
    <row r="822" spans="1:16">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c r="P822" s="14" t="s">
        <v>2524</v>
      </c>
    </row>
    <row r="823" spans="1:16">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c r="P823" s="14" t="s">
        <v>2522</v>
      </c>
    </row>
    <row r="824" spans="1:16">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c r="P824" s="14" t="s">
        <v>2523</v>
      </c>
    </row>
    <row r="825" spans="1:16">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c r="P825" s="14" t="s">
        <v>2522</v>
      </c>
    </row>
    <row r="826" spans="1:16">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c r="P826" s="14" t="s">
        <v>2521</v>
      </c>
    </row>
    <row r="827" spans="1:16">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c r="P827" s="14" t="s">
        <v>2523</v>
      </c>
    </row>
    <row r="828" spans="1:16">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c r="P828" s="14" t="s">
        <v>2521</v>
      </c>
    </row>
    <row r="829" spans="1:16">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c r="P829" s="14" t="s">
        <v>2524</v>
      </c>
    </row>
    <row r="830" spans="1:16">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c r="P830" s="14" t="s">
        <v>2521</v>
      </c>
    </row>
    <row r="831" spans="1:16">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c r="P831" s="14" t="s">
        <v>2524</v>
      </c>
    </row>
    <row r="832" spans="1:16">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c r="P832" s="14" t="s">
        <v>2522</v>
      </c>
    </row>
    <row r="833" spans="1:16">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c r="P833" s="14" t="s">
        <v>2523</v>
      </c>
    </row>
    <row r="834" spans="1:16">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c r="P834" s="14" t="s">
        <v>2522</v>
      </c>
    </row>
    <row r="835" spans="1:16">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c r="P835" s="14" t="s">
        <v>2521</v>
      </c>
    </row>
    <row r="836" spans="1:16">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c r="P836" s="14" t="s">
        <v>2523</v>
      </c>
    </row>
    <row r="837" spans="1:16">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c r="P837" s="14" t="s">
        <v>2521</v>
      </c>
    </row>
    <row r="838" spans="1:16">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c r="P838" s="14" t="s">
        <v>2524</v>
      </c>
    </row>
    <row r="839" spans="1:16">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c r="P839" s="14" t="s">
        <v>2521</v>
      </c>
    </row>
    <row r="840" spans="1:16">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c r="P840" s="14" t="s">
        <v>2524</v>
      </c>
    </row>
    <row r="841" spans="1:16">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c r="P841" s="14" t="s">
        <v>2522</v>
      </c>
    </row>
    <row r="842" spans="1:16">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c r="P842" s="14" t="s">
        <v>2523</v>
      </c>
    </row>
    <row r="843" spans="1:16">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c r="P843" s="14" t="s">
        <v>2522</v>
      </c>
    </row>
    <row r="844" spans="1:16">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c r="P844" s="14" t="s">
        <v>2521</v>
      </c>
    </row>
    <row r="845" spans="1:16">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c r="P845" s="14" t="s">
        <v>2523</v>
      </c>
    </row>
    <row r="846" spans="1:16">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c r="P846" s="14" t="s">
        <v>2521</v>
      </c>
    </row>
    <row r="847" spans="1:16">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c r="P847" s="14" t="s">
        <v>2524</v>
      </c>
    </row>
    <row r="848" spans="1:16">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c r="P848" s="14" t="s">
        <v>2521</v>
      </c>
    </row>
    <row r="849" spans="1:16">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c r="P849" s="14" t="s">
        <v>2524</v>
      </c>
    </row>
    <row r="850" spans="1:16">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c r="P850" s="14" t="s">
        <v>2522</v>
      </c>
    </row>
    <row r="851" spans="1:16">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c r="P851" s="14" t="s">
        <v>2523</v>
      </c>
    </row>
    <row r="852" spans="1:16">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c r="P852" s="14" t="s">
        <v>2522</v>
      </c>
    </row>
    <row r="853" spans="1:16">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c r="P853" s="14" t="s">
        <v>2521</v>
      </c>
    </row>
    <row r="854" spans="1:16">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c r="P854" s="14" t="s">
        <v>2523</v>
      </c>
    </row>
    <row r="855" spans="1:16">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c r="P855" s="14" t="s">
        <v>2521</v>
      </c>
    </row>
    <row r="856" spans="1:16">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c r="P856" s="14" t="s">
        <v>2524</v>
      </c>
    </row>
    <row r="857" spans="1:16">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c r="P857" s="14" t="s">
        <v>2521</v>
      </c>
    </row>
    <row r="858" spans="1:16">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c r="P858" s="14" t="s">
        <v>2524</v>
      </c>
    </row>
    <row r="859" spans="1:16">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c r="P859" s="14" t="s">
        <v>2522</v>
      </c>
    </row>
    <row r="860" spans="1:16">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c r="P860" s="14" t="s">
        <v>2523</v>
      </c>
    </row>
    <row r="861" spans="1:16">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c r="P861" s="14" t="s">
        <v>2522</v>
      </c>
    </row>
    <row r="862" spans="1:16">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c r="P862" s="14" t="s">
        <v>2521</v>
      </c>
    </row>
    <row r="863" spans="1:16">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c r="P863" s="14" t="s">
        <v>2523</v>
      </c>
    </row>
    <row r="864" spans="1:16">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c r="P864" s="14" t="s">
        <v>2521</v>
      </c>
    </row>
    <row r="865" spans="1:16">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c r="P865" s="14" t="s">
        <v>2524</v>
      </c>
    </row>
    <row r="866" spans="1:16">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c r="P866" s="14" t="s">
        <v>2521</v>
      </c>
    </row>
    <row r="867" spans="1:16">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c r="P867" s="14" t="s">
        <v>2524</v>
      </c>
    </row>
    <row r="868" spans="1:16">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c r="P868" s="14" t="s">
        <v>2522</v>
      </c>
    </row>
    <row r="869" spans="1:16">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c r="P869" s="14" t="s">
        <v>2523</v>
      </c>
    </row>
    <row r="870" spans="1:16">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c r="P870" s="14" t="s">
        <v>2522</v>
      </c>
    </row>
    <row r="871" spans="1:16">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c r="P871" s="14" t="s">
        <v>2521</v>
      </c>
    </row>
    <row r="872" spans="1:16">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c r="P872" s="14" t="s">
        <v>2523</v>
      </c>
    </row>
    <row r="873" spans="1:16">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c r="P873" s="14" t="s">
        <v>2521</v>
      </c>
    </row>
    <row r="874" spans="1:16">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c r="P874" s="14" t="s">
        <v>2524</v>
      </c>
    </row>
    <row r="875" spans="1:16">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c r="P875" s="14" t="s">
        <v>2521</v>
      </c>
    </row>
    <row r="876" spans="1:16">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c r="P876" s="14" t="s">
        <v>2524</v>
      </c>
    </row>
    <row r="877" spans="1:16">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c r="P877" s="14" t="s">
        <v>2522</v>
      </c>
    </row>
    <row r="878" spans="1:16">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c r="P878" s="14" t="s">
        <v>2523</v>
      </c>
    </row>
    <row r="879" spans="1:16">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c r="P879" s="14" t="s">
        <v>2522</v>
      </c>
    </row>
    <row r="880" spans="1:16">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c r="P880" s="14" t="s">
        <v>2521</v>
      </c>
    </row>
    <row r="881" spans="1:16">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c r="P881" s="14" t="s">
        <v>2523</v>
      </c>
    </row>
    <row r="882" spans="1:16">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c r="P882" s="14" t="s">
        <v>2521</v>
      </c>
    </row>
    <row r="883" spans="1:16">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c r="P883" s="14" t="s">
        <v>2524</v>
      </c>
    </row>
    <row r="884" spans="1:16">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c r="P884" s="14" t="s">
        <v>2521</v>
      </c>
    </row>
    <row r="885" spans="1:16">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c r="P885" s="14" t="s">
        <v>2524</v>
      </c>
    </row>
    <row r="886" spans="1:16">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c r="P886" s="14" t="s">
        <v>2522</v>
      </c>
    </row>
    <row r="887" spans="1:16">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c r="P887" s="14" t="s">
        <v>2523</v>
      </c>
    </row>
    <row r="888" spans="1:16">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c r="P888" s="14" t="s">
        <v>2522</v>
      </c>
    </row>
    <row r="889" spans="1:16">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c r="P889" s="14" t="s">
        <v>2521</v>
      </c>
    </row>
    <row r="890" spans="1:16">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c r="P890" s="14" t="s">
        <v>2523</v>
      </c>
    </row>
    <row r="891" spans="1:16">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c r="P891" s="14" t="s">
        <v>2521</v>
      </c>
    </row>
    <row r="892" spans="1:16">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c r="P892" s="14" t="s">
        <v>2524</v>
      </c>
    </row>
    <row r="893" spans="1:16">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c r="P893" s="14" t="s">
        <v>2521</v>
      </c>
    </row>
    <row r="894" spans="1:16">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c r="P894" s="14" t="s">
        <v>2524</v>
      </c>
    </row>
    <row r="895" spans="1:16">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c r="P895" s="14" t="s">
        <v>2522</v>
      </c>
    </row>
    <row r="896" spans="1:16">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c r="P896" s="14" t="s">
        <v>2523</v>
      </c>
    </row>
    <row r="897" spans="1:16">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c r="P897" s="14" t="s">
        <v>2522</v>
      </c>
    </row>
    <row r="898" spans="1:16">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c r="P898" s="14" t="s">
        <v>2521</v>
      </c>
    </row>
    <row r="899" spans="1:16">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c r="P899" s="14" t="s">
        <v>2523</v>
      </c>
    </row>
    <row r="900" spans="1:16">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c r="P900" s="14" t="s">
        <v>2521</v>
      </c>
    </row>
    <row r="901" spans="1:16">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c r="P901" s="14" t="s">
        <v>2524</v>
      </c>
    </row>
    <row r="902" spans="1:16">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c r="P902" s="14" t="s">
        <v>2521</v>
      </c>
    </row>
    <row r="903" spans="1:16">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c r="P903" s="14" t="s">
        <v>2524</v>
      </c>
    </row>
    <row r="904" spans="1:16">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c r="P904" s="14" t="s">
        <v>2522</v>
      </c>
    </row>
    <row r="905" spans="1:16">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c r="P905" s="14" t="s">
        <v>2523</v>
      </c>
    </row>
    <row r="906" spans="1:16">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c r="P906" s="14" t="s">
        <v>2522</v>
      </c>
    </row>
    <row r="907" spans="1:16">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c r="P907" s="14" t="s">
        <v>2521</v>
      </c>
    </row>
    <row r="908" spans="1:16">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c r="P908" s="14" t="s">
        <v>2523</v>
      </c>
    </row>
    <row r="909" spans="1:16">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c r="P909" s="14" t="s">
        <v>2521</v>
      </c>
    </row>
    <row r="910" spans="1:16">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c r="P910" s="14" t="s">
        <v>2524</v>
      </c>
    </row>
    <row r="911" spans="1:16">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c r="P911" s="14" t="s">
        <v>2521</v>
      </c>
    </row>
    <row r="912" spans="1:16">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c r="P912" s="14" t="s">
        <v>2524</v>
      </c>
    </row>
    <row r="913" spans="1:16">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c r="P913" s="14" t="s">
        <v>2522</v>
      </c>
    </row>
    <row r="914" spans="1:16">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c r="P914" s="14" t="s">
        <v>2523</v>
      </c>
    </row>
    <row r="915" spans="1:16">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c r="P915" s="14" t="s">
        <v>2522</v>
      </c>
    </row>
    <row r="916" spans="1:16">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c r="P916" s="14" t="s">
        <v>2521</v>
      </c>
    </row>
    <row r="917" spans="1:16">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c r="P917" s="14" t="s">
        <v>2523</v>
      </c>
    </row>
    <row r="918" spans="1:16">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c r="P918" s="14" t="s">
        <v>2521</v>
      </c>
    </row>
    <row r="919" spans="1:16">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c r="P919" s="14" t="s">
        <v>2524</v>
      </c>
    </row>
    <row r="920" spans="1:16">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c r="P920" s="14" t="s">
        <v>2521</v>
      </c>
    </row>
    <row r="921" spans="1:16">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c r="P921" s="14" t="s">
        <v>2524</v>
      </c>
    </row>
    <row r="922" spans="1:16">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c r="P922" s="14" t="s">
        <v>2522</v>
      </c>
    </row>
    <row r="923" spans="1:16">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c r="P923" s="14" t="s">
        <v>2523</v>
      </c>
    </row>
    <row r="924" spans="1:16">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c r="P924" s="14" t="s">
        <v>2522</v>
      </c>
    </row>
    <row r="925" spans="1:16">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c r="P925" s="14" t="s">
        <v>2521</v>
      </c>
    </row>
    <row r="926" spans="1:16">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c r="P926" s="14" t="s">
        <v>2523</v>
      </c>
    </row>
    <row r="927" spans="1:16">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c r="P927" s="14" t="s">
        <v>2521</v>
      </c>
    </row>
    <row r="928" spans="1:16">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c r="P928" s="14" t="s">
        <v>2524</v>
      </c>
    </row>
    <row r="929" spans="1:16">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c r="P929" s="14" t="s">
        <v>2521</v>
      </c>
    </row>
    <row r="930" spans="1:16">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c r="P930" s="14" t="s">
        <v>2524</v>
      </c>
    </row>
    <row r="931" spans="1:16">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c r="P931" s="14" t="s">
        <v>2522</v>
      </c>
    </row>
    <row r="932" spans="1:16">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c r="P932" s="14" t="s">
        <v>2523</v>
      </c>
    </row>
    <row r="933" spans="1:16">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c r="P933" s="14" t="s">
        <v>2522</v>
      </c>
    </row>
    <row r="934" spans="1:16">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c r="P934" s="14" t="s">
        <v>2521</v>
      </c>
    </row>
    <row r="935" spans="1:16">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c r="P935" s="14" t="s">
        <v>2523</v>
      </c>
    </row>
    <row r="936" spans="1:16">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c r="P936" s="14" t="s">
        <v>2521</v>
      </c>
    </row>
    <row r="937" spans="1:16">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c r="P937" s="14" t="s">
        <v>2524</v>
      </c>
    </row>
    <row r="938" spans="1:16">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c r="P938" s="14" t="s">
        <v>2521</v>
      </c>
    </row>
    <row r="939" spans="1:16">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c r="P939" s="14" t="s">
        <v>2524</v>
      </c>
    </row>
    <row r="940" spans="1:16">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c r="P940" s="14" t="s">
        <v>2522</v>
      </c>
    </row>
    <row r="941" spans="1:16">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c r="P941" s="14" t="s">
        <v>2523</v>
      </c>
    </row>
    <row r="942" spans="1:16">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c r="P942" s="14" t="s">
        <v>2522</v>
      </c>
    </row>
    <row r="943" spans="1:16">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c r="P943" s="14" t="s">
        <v>2521</v>
      </c>
    </row>
    <row r="944" spans="1:16">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c r="P944" s="14" t="s">
        <v>2523</v>
      </c>
    </row>
    <row r="945" spans="1:16">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c r="P945" s="14" t="s">
        <v>2521</v>
      </c>
    </row>
    <row r="946" spans="1:16">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c r="P946" s="14" t="s">
        <v>2524</v>
      </c>
    </row>
    <row r="947" spans="1:16">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c r="P947" s="14" t="s">
        <v>2521</v>
      </c>
    </row>
    <row r="948" spans="1:16">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c r="P948" s="14" t="s">
        <v>2524</v>
      </c>
    </row>
    <row r="949" spans="1:16">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c r="P949" s="14" t="s">
        <v>2522</v>
      </c>
    </row>
    <row r="950" spans="1:16">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c r="P950" s="14" t="s">
        <v>2523</v>
      </c>
    </row>
    <row r="951" spans="1:16">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c r="P951" s="14" t="s">
        <v>2522</v>
      </c>
    </row>
    <row r="952" spans="1:16">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c r="P952" s="14" t="s">
        <v>2521</v>
      </c>
    </row>
    <row r="953" spans="1:16">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c r="P953" s="14" t="s">
        <v>2523</v>
      </c>
    </row>
    <row r="954" spans="1:16">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c r="P954" s="14" t="s">
        <v>2521</v>
      </c>
    </row>
    <row r="955" spans="1:16">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c r="P955" s="14" t="s">
        <v>2524</v>
      </c>
    </row>
    <row r="956" spans="1:16">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c r="P956" s="14" t="s">
        <v>2521</v>
      </c>
    </row>
    <row r="957" spans="1:16">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c r="P957" s="14" t="s">
        <v>2524</v>
      </c>
    </row>
    <row r="958" spans="1:16">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c r="P958" s="14" t="s">
        <v>2522</v>
      </c>
    </row>
    <row r="959" spans="1:16">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c r="P959" s="14" t="s">
        <v>2523</v>
      </c>
    </row>
    <row r="960" spans="1:16">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c r="P960" s="14" t="s">
        <v>2522</v>
      </c>
    </row>
    <row r="961" spans="1:16">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c r="P961" s="14" t="s">
        <v>2521</v>
      </c>
    </row>
    <row r="962" spans="1:16">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c r="P962" s="14" t="s">
        <v>2523</v>
      </c>
    </row>
    <row r="963" spans="1:16">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c r="P963" s="14" t="s">
        <v>2521</v>
      </c>
    </row>
    <row r="964" spans="1:16">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c r="P964" s="14" t="s">
        <v>2524</v>
      </c>
    </row>
    <row r="965" spans="1:16">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c r="P965" s="14" t="s">
        <v>2521</v>
      </c>
    </row>
    <row r="966" spans="1:16">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c r="P966" s="14" t="s">
        <v>2524</v>
      </c>
    </row>
    <row r="967" spans="1:16">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c r="P967" s="14" t="s">
        <v>2522</v>
      </c>
    </row>
    <row r="968" spans="1:16">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c r="P968" s="14" t="s">
        <v>2523</v>
      </c>
    </row>
    <row r="969" spans="1:16">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c r="P969" s="14" t="s">
        <v>2522</v>
      </c>
    </row>
    <row r="970" spans="1:16">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c r="P970" s="14" t="s">
        <v>2521</v>
      </c>
    </row>
    <row r="971" spans="1:16">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c r="P971" s="14" t="s">
        <v>2523</v>
      </c>
    </row>
    <row r="972" spans="1:16">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c r="P972" s="14" t="s">
        <v>2521</v>
      </c>
    </row>
    <row r="973" spans="1:16">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c r="P973" s="14" t="s">
        <v>2524</v>
      </c>
    </row>
    <row r="974" spans="1:16">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c r="P974" s="14" t="s">
        <v>2521</v>
      </c>
    </row>
    <row r="975" spans="1:16">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c r="P975" s="14" t="s">
        <v>2524</v>
      </c>
    </row>
    <row r="976" spans="1:16">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c r="P976" s="14" t="s">
        <v>2522</v>
      </c>
    </row>
    <row r="977" spans="1:16">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c r="P977" s="14" t="s">
        <v>2523</v>
      </c>
    </row>
    <row r="978" spans="1:16">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c r="P978" s="14" t="s">
        <v>2522</v>
      </c>
    </row>
    <row r="979" spans="1:16">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c r="P979" s="14" t="s">
        <v>2521</v>
      </c>
    </row>
    <row r="980" spans="1:16">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c r="P980" s="14" t="s">
        <v>2523</v>
      </c>
    </row>
    <row r="981" spans="1:16">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c r="P981" s="14" t="s">
        <v>2521</v>
      </c>
    </row>
    <row r="982" spans="1:16">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c r="P982" s="14" t="s">
        <v>2524</v>
      </c>
    </row>
    <row r="983" spans="1:16">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c r="P983" s="14" t="s">
        <v>2521</v>
      </c>
    </row>
    <row r="984" spans="1:16">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c r="P984" s="14" t="s">
        <v>2524</v>
      </c>
    </row>
    <row r="985" spans="1:16">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c r="P985" s="14" t="s">
        <v>2522</v>
      </c>
    </row>
    <row r="986" spans="1:16">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c r="P986" s="14" t="s">
        <v>2523</v>
      </c>
    </row>
    <row r="987" spans="1:16">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c r="P987" s="14" t="s">
        <v>2522</v>
      </c>
    </row>
    <row r="988" spans="1:16">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c r="P988" s="14" t="s">
        <v>2521</v>
      </c>
    </row>
    <row r="989" spans="1:16">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c r="P989" s="14" t="s">
        <v>2523</v>
      </c>
    </row>
    <row r="990" spans="1:16">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c r="P990" s="14" t="s">
        <v>2521</v>
      </c>
    </row>
    <row r="991" spans="1:16">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c r="P991" s="14" t="s">
        <v>2524</v>
      </c>
    </row>
    <row r="992" spans="1:16">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c r="P992" s="14" t="s">
        <v>2521</v>
      </c>
    </row>
    <row r="993" spans="1:16">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c r="P993" s="14" t="s">
        <v>2524</v>
      </c>
    </row>
    <row r="994" spans="1:16">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c r="P994" s="14" t="s">
        <v>2522</v>
      </c>
    </row>
    <row r="995" spans="1:16">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c r="P995" s="14" t="s">
        <v>2523</v>
      </c>
    </row>
    <row r="996" spans="1:16">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c r="P996" s="14" t="s">
        <v>2522</v>
      </c>
    </row>
    <row r="997" spans="1:16">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c r="P997" s="14" t="s">
        <v>2521</v>
      </c>
    </row>
    <row r="998" spans="1:16">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c r="P998" s="14" t="s">
        <v>2523</v>
      </c>
    </row>
    <row r="999" spans="1:16">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c r="P999" s="14" t="s">
        <v>2521</v>
      </c>
    </row>
    <row r="1000" spans="1:16">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c r="P1000" s="14" t="s">
        <v>2524</v>
      </c>
    </row>
    <row r="1001" spans="1:16">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c r="P1001" s="14" t="s">
        <v>2521</v>
      </c>
    </row>
    <row r="1002" spans="1:16">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c r="P1002" s="14" t="s">
        <v>2524</v>
      </c>
    </row>
    <row r="1003" spans="1:16">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c r="P1003" s="14" t="s">
        <v>2522</v>
      </c>
    </row>
    <row r="1004" spans="1:16">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c r="P1004" s="14" t="s">
        <v>2523</v>
      </c>
    </row>
    <row r="1005" spans="1:16">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c r="P1005" s="14" t="s">
        <v>2522</v>
      </c>
    </row>
    <row r="1006" spans="1:16">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c r="P1006" s="14" t="s">
        <v>2521</v>
      </c>
    </row>
    <row r="1007" spans="1:16">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c r="P1007" s="14" t="s">
        <v>2523</v>
      </c>
    </row>
    <row r="1008" spans="1:16">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c r="P1008" s="14" t="s">
        <v>2521</v>
      </c>
    </row>
    <row r="1009" spans="1:16">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c r="P1009" s="14" t="s">
        <v>2524</v>
      </c>
    </row>
    <row r="1010" spans="1:16">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c r="P1010" s="14" t="s">
        <v>2521</v>
      </c>
    </row>
    <row r="1011" spans="1:16">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c r="P1011" s="14" t="s">
        <v>2524</v>
      </c>
    </row>
    <row r="1012" spans="1:16">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c r="P1012" s="14" t="s">
        <v>2522</v>
      </c>
    </row>
    <row r="1013" spans="1:16">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c r="P1013" s="14" t="s">
        <v>2523</v>
      </c>
    </row>
    <row r="1014" spans="1:16">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c r="P1014" s="14" t="s">
        <v>2522</v>
      </c>
    </row>
    <row r="1015" spans="1:16">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c r="P1015" s="14" t="s">
        <v>2521</v>
      </c>
    </row>
    <row r="1016" spans="1:16">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c r="P1016" s="14" t="s">
        <v>2523</v>
      </c>
    </row>
    <row r="1017" spans="1:16">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c r="P1017" s="14" t="s">
        <v>2521</v>
      </c>
    </row>
    <row r="1018" spans="1:16">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c r="P1018" s="14" t="s">
        <v>2524</v>
      </c>
    </row>
    <row r="1019" spans="1:16">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c r="P1019" s="14" t="s">
        <v>2521</v>
      </c>
    </row>
    <row r="1020" spans="1:16">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c r="P1020" s="14" t="s">
        <v>2524</v>
      </c>
    </row>
    <row r="1021" spans="1:16">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c r="P1021" s="14" t="s">
        <v>2522</v>
      </c>
    </row>
    <row r="1022" spans="1:16">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c r="P1022" s="14" t="s">
        <v>2523</v>
      </c>
    </row>
    <row r="1023" spans="1:16">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c r="P1023" s="14" t="s">
        <v>2522</v>
      </c>
    </row>
    <row r="1024" spans="1:16">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c r="P1024" s="14" t="s">
        <v>2521</v>
      </c>
    </row>
    <row r="1025" spans="1:16">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c r="P1025" s="14" t="s">
        <v>2523</v>
      </c>
    </row>
    <row r="1026" spans="1:16">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c r="P1026" s="14" t="s">
        <v>2521</v>
      </c>
    </row>
    <row r="1027" spans="1:16">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c r="P1027" s="14" t="s">
        <v>2524</v>
      </c>
    </row>
    <row r="1028" spans="1:16">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c r="P1028" s="14" t="s">
        <v>2521</v>
      </c>
    </row>
    <row r="1029" spans="1:16">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c r="P1029" s="14" t="s">
        <v>2524</v>
      </c>
    </row>
    <row r="1030" spans="1:16">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c r="P1030" s="14" t="s">
        <v>2522</v>
      </c>
    </row>
    <row r="1031" spans="1:16">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c r="P1031" s="14" t="s">
        <v>2523</v>
      </c>
    </row>
    <row r="1032" spans="1:16">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c r="P1032" s="14" t="s">
        <v>2522</v>
      </c>
    </row>
    <row r="1033" spans="1:16">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c r="P1033" s="14" t="s">
        <v>2521</v>
      </c>
    </row>
    <row r="1034" spans="1:16">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c r="P1034" s="14" t="s">
        <v>2523</v>
      </c>
    </row>
    <row r="1035" spans="1:16">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c r="P1035" s="14" t="s">
        <v>2521</v>
      </c>
    </row>
    <row r="1036" spans="1:16">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c r="P1036" s="14" t="s">
        <v>2524</v>
      </c>
    </row>
    <row r="1037" spans="1:16">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c r="P1037" s="14" t="s">
        <v>2521</v>
      </c>
    </row>
    <row r="1038" spans="1:16">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c r="P1038" s="14" t="s">
        <v>2524</v>
      </c>
    </row>
    <row r="1039" spans="1:16">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c r="P1039" s="14" t="s">
        <v>2522</v>
      </c>
    </row>
    <row r="1040" spans="1:16">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c r="P1040" s="14" t="s">
        <v>2523</v>
      </c>
    </row>
    <row r="1041" spans="1:16">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c r="P1041" s="14" t="s">
        <v>2522</v>
      </c>
    </row>
    <row r="1042" spans="1:16">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c r="P1042" s="14" t="s">
        <v>2521</v>
      </c>
    </row>
    <row r="1043" spans="1:16">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c r="P1043" s="14" t="s">
        <v>2523</v>
      </c>
    </row>
    <row r="1044" spans="1:16">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c r="P1044" s="14" t="s">
        <v>2521</v>
      </c>
    </row>
    <row r="1045" spans="1:16">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c r="P1045" s="14" t="s">
        <v>2524</v>
      </c>
    </row>
    <row r="1046" spans="1:16">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c r="P1046" s="14" t="s">
        <v>2521</v>
      </c>
    </row>
    <row r="1047" spans="1:16">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c r="P1047" s="14" t="s">
        <v>2524</v>
      </c>
    </row>
    <row r="1048" spans="1:16">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c r="P1048" s="14" t="s">
        <v>2522</v>
      </c>
    </row>
    <row r="1049" spans="1:16">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c r="P1049" s="14" t="s">
        <v>2523</v>
      </c>
    </row>
    <row r="1050" spans="1:16">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c r="P1050" s="14" t="s">
        <v>2522</v>
      </c>
    </row>
    <row r="1051" spans="1:16">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c r="P1051" s="14" t="s">
        <v>2521</v>
      </c>
    </row>
    <row r="1052" spans="1:16">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c r="P1052" s="14" t="s">
        <v>2523</v>
      </c>
    </row>
    <row r="1053" spans="1:16">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c r="P1053" s="14" t="s">
        <v>2521</v>
      </c>
    </row>
    <row r="1054" spans="1:16">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c r="P1054" s="14" t="s">
        <v>2524</v>
      </c>
    </row>
    <row r="1055" spans="1:16">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c r="P1055" s="14" t="s">
        <v>2521</v>
      </c>
    </row>
    <row r="1056" spans="1:16">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c r="P1056" s="14" t="s">
        <v>2524</v>
      </c>
    </row>
    <row r="1057" spans="1:16">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c r="P1057" s="14" t="s">
        <v>2522</v>
      </c>
    </row>
    <row r="1058" spans="1:16">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c r="P1058" s="14" t="s">
        <v>2523</v>
      </c>
    </row>
    <row r="1059" spans="1:16">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c r="P1059" s="14" t="s">
        <v>2522</v>
      </c>
    </row>
    <row r="1060" spans="1:16">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c r="P1060" s="14" t="s">
        <v>2521</v>
      </c>
    </row>
    <row r="1061" spans="1:16">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c r="P1061" s="14" t="s">
        <v>2523</v>
      </c>
    </row>
    <row r="1062" spans="1:16">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c r="P1062" s="14" t="s">
        <v>2521</v>
      </c>
    </row>
    <row r="1063" spans="1:16">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c r="P1063" s="14" t="s">
        <v>2524</v>
      </c>
    </row>
    <row r="1064" spans="1:16">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c r="P1064" s="14" t="s">
        <v>2521</v>
      </c>
    </row>
    <row r="1065" spans="1:16">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c r="P1065" s="14" t="s">
        <v>2524</v>
      </c>
    </row>
    <row r="1066" spans="1:16">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c r="P1066" s="14" t="s">
        <v>2522</v>
      </c>
    </row>
    <row r="1067" spans="1:16">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c r="P1067" s="14" t="s">
        <v>2523</v>
      </c>
    </row>
    <row r="1068" spans="1:16">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c r="P1068" s="14" t="s">
        <v>2522</v>
      </c>
    </row>
    <row r="1069" spans="1:16">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c r="P1069" s="14" t="s">
        <v>2521</v>
      </c>
    </row>
    <row r="1070" spans="1:16">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c r="P1070" s="14" t="s">
        <v>2523</v>
      </c>
    </row>
    <row r="1071" spans="1:16">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c r="P1071" s="14" t="s">
        <v>2521</v>
      </c>
    </row>
    <row r="1072" spans="1:16">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c r="P1072" s="14" t="s">
        <v>2524</v>
      </c>
    </row>
    <row r="1073" spans="1:16">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c r="P1073" s="14" t="s">
        <v>2521</v>
      </c>
    </row>
    <row r="1074" spans="1:16">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c r="P1074" s="14" t="s">
        <v>2524</v>
      </c>
    </row>
    <row r="1075" spans="1:16">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c r="P1075" s="14" t="s">
        <v>2522</v>
      </c>
    </row>
    <row r="1076" spans="1:16">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c r="P1076" s="14" t="s">
        <v>2523</v>
      </c>
    </row>
    <row r="1077" spans="1:16">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c r="P1077" s="14" t="s">
        <v>2522</v>
      </c>
    </row>
    <row r="1078" spans="1:16">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c r="P1078" s="14" t="s">
        <v>2521</v>
      </c>
    </row>
    <row r="1079" spans="1:16">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c r="P1079" s="14" t="s">
        <v>2523</v>
      </c>
    </row>
    <row r="1080" spans="1:16">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c r="P1080" s="14" t="s">
        <v>2521</v>
      </c>
    </row>
    <row r="1081" spans="1:16">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c r="P1081" s="14" t="s">
        <v>2524</v>
      </c>
    </row>
    <row r="1082" spans="1:16">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c r="P1082" s="14" t="s">
        <v>2521</v>
      </c>
    </row>
    <row r="1083" spans="1:16">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c r="P1083" s="14" t="s">
        <v>2524</v>
      </c>
    </row>
    <row r="1084" spans="1:16">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c r="P1084" s="14" t="s">
        <v>2522</v>
      </c>
    </row>
    <row r="1085" spans="1:16">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c r="P1085" s="14" t="s">
        <v>2523</v>
      </c>
    </row>
    <row r="1086" spans="1:16">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c r="P1086" s="14" t="s">
        <v>2522</v>
      </c>
    </row>
    <row r="1087" spans="1:16">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c r="P1087" s="14" t="s">
        <v>2521</v>
      </c>
    </row>
    <row r="1088" spans="1:16">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c r="P1088" s="14" t="s">
        <v>2523</v>
      </c>
    </row>
    <row r="1089" spans="1:16">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c r="P1089" s="14" t="s">
        <v>2521</v>
      </c>
    </row>
    <row r="1090" spans="1:16">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c r="P1090" s="14" t="s">
        <v>2524</v>
      </c>
    </row>
    <row r="1091" spans="1:16">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c r="P1091" s="14" t="s">
        <v>2521</v>
      </c>
    </row>
    <row r="1092" spans="1:16">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c r="P1092" s="14" t="s">
        <v>2524</v>
      </c>
    </row>
    <row r="1093" spans="1:16">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c r="P1093" s="14" t="s">
        <v>2522</v>
      </c>
    </row>
    <row r="1094" spans="1:16">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c r="P1094" s="14" t="s">
        <v>2523</v>
      </c>
    </row>
    <row r="1095" spans="1:16">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c r="P1095" s="14" t="s">
        <v>2522</v>
      </c>
    </row>
    <row r="1096" spans="1:16">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c r="P1096" s="14" t="s">
        <v>2521</v>
      </c>
    </row>
    <row r="1097" spans="1:16">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c r="P1097" s="14" t="s">
        <v>2523</v>
      </c>
    </row>
    <row r="1098" spans="1:16">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c r="P1098" s="14" t="s">
        <v>2521</v>
      </c>
    </row>
    <row r="1099" spans="1:16">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c r="P1099" s="14" t="s">
        <v>2524</v>
      </c>
    </row>
    <row r="1100" spans="1:16">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c r="P1100" s="14" t="s">
        <v>2521</v>
      </c>
    </row>
    <row r="1101" spans="1:16">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c r="P1101" s="14" t="s">
        <v>2524</v>
      </c>
    </row>
    <row r="1102" spans="1:16">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c r="P1102" s="14" t="s">
        <v>2522</v>
      </c>
    </row>
    <row r="1103" spans="1:16">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c r="P1103" s="14" t="s">
        <v>2523</v>
      </c>
    </row>
    <row r="1104" spans="1:16">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c r="P1104" s="14" t="s">
        <v>2522</v>
      </c>
    </row>
    <row r="1105" spans="1:16">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c r="P1105" s="14" t="s">
        <v>2521</v>
      </c>
    </row>
    <row r="1106" spans="1:16">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c r="P1106" s="14" t="s">
        <v>2523</v>
      </c>
    </row>
    <row r="1107" spans="1:16">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c r="P1107" s="14" t="s">
        <v>2521</v>
      </c>
    </row>
    <row r="1108" spans="1:16">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c r="P1108" s="14" t="s">
        <v>2524</v>
      </c>
    </row>
    <row r="1109" spans="1:16">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c r="P1109" s="14" t="s">
        <v>2521</v>
      </c>
    </row>
    <row r="1110" spans="1:16">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c r="P1110" s="14" t="s">
        <v>2524</v>
      </c>
    </row>
    <row r="1111" spans="1:16">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c r="P1111" s="14" t="s">
        <v>2522</v>
      </c>
    </row>
    <row r="1112" spans="1:16">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c r="P1112" s="14" t="s">
        <v>2523</v>
      </c>
    </row>
    <row r="1113" spans="1:16">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c r="P1113" s="14" t="s">
        <v>2522</v>
      </c>
    </row>
    <row r="1114" spans="1:16">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c r="P1114" s="14" t="s">
        <v>2521</v>
      </c>
    </row>
    <row r="1115" spans="1:16">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c r="P1115" s="14" t="s">
        <v>2523</v>
      </c>
    </row>
    <row r="1116" spans="1:16">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c r="P1116" s="14" t="s">
        <v>2521</v>
      </c>
    </row>
    <row r="1117" spans="1:16">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c r="P1117" s="14" t="s">
        <v>2524</v>
      </c>
    </row>
    <row r="1118" spans="1:16">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c r="P1118" s="14" t="s">
        <v>2521</v>
      </c>
    </row>
    <row r="1119" spans="1:16">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c r="P1119" s="14" t="s">
        <v>2524</v>
      </c>
    </row>
    <row r="1120" spans="1:16">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c r="P1120" s="14" t="s">
        <v>2522</v>
      </c>
    </row>
    <row r="1121" spans="1:16">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c r="P1121" s="14" t="s">
        <v>2523</v>
      </c>
    </row>
    <row r="1122" spans="1:16">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c r="P1122" s="14" t="s">
        <v>2522</v>
      </c>
    </row>
    <row r="1123" spans="1:16">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c r="P1123" s="14" t="s">
        <v>2521</v>
      </c>
    </row>
    <row r="1124" spans="1:16">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c r="P1124" s="14" t="s">
        <v>2523</v>
      </c>
    </row>
    <row r="1125" spans="1:16">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c r="P1125" s="14" t="s">
        <v>2521</v>
      </c>
    </row>
    <row r="1126" spans="1:16">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c r="P1126" s="14" t="s">
        <v>2524</v>
      </c>
    </row>
    <row r="1127" spans="1:16">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c r="P1127" s="14" t="s">
        <v>2521</v>
      </c>
    </row>
    <row r="1128" spans="1:16">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c r="P1128" s="14" t="s">
        <v>2524</v>
      </c>
    </row>
    <row r="1129" spans="1:16">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c r="P1129" s="14" t="s">
        <v>2522</v>
      </c>
    </row>
    <row r="1130" spans="1:16">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c r="P1130" s="14" t="s">
        <v>2523</v>
      </c>
    </row>
    <row r="1131" spans="1:16">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c r="P1131" s="14" t="s">
        <v>2522</v>
      </c>
    </row>
    <row r="1132" spans="1:16">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c r="P1132" s="14" t="s">
        <v>2521</v>
      </c>
    </row>
    <row r="1133" spans="1:16">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c r="P1133" s="14" t="s">
        <v>2523</v>
      </c>
    </row>
    <row r="1134" spans="1:16">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c r="P1134" s="14" t="s">
        <v>2521</v>
      </c>
    </row>
    <row r="1135" spans="1:16">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c r="P1135" s="14" t="s">
        <v>2524</v>
      </c>
    </row>
    <row r="1136" spans="1:16">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c r="P1136" s="14" t="s">
        <v>2521</v>
      </c>
    </row>
    <row r="1137" spans="1:16">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c r="P1137" s="14" t="s">
        <v>2524</v>
      </c>
    </row>
    <row r="1138" spans="1:16">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c r="P1138" s="14" t="s">
        <v>2522</v>
      </c>
    </row>
    <row r="1139" spans="1:16">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c r="P1139" s="14" t="s">
        <v>2523</v>
      </c>
    </row>
    <row r="1140" spans="1:16">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c r="P1140" s="14" t="s">
        <v>2522</v>
      </c>
    </row>
    <row r="1141" spans="1:16">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c r="P1141" s="14" t="s">
        <v>2521</v>
      </c>
    </row>
    <row r="1142" spans="1:16">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c r="P1142" s="14" t="s">
        <v>2523</v>
      </c>
    </row>
    <row r="1143" spans="1:16">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c r="P1143" s="14" t="s">
        <v>2521</v>
      </c>
    </row>
    <row r="1144" spans="1:16">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c r="P1144" s="14" t="s">
        <v>2524</v>
      </c>
    </row>
    <row r="1145" spans="1:16">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c r="P1145" s="14" t="s">
        <v>2521</v>
      </c>
    </row>
    <row r="1146" spans="1:16">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c r="P1146" s="14" t="s">
        <v>2524</v>
      </c>
    </row>
    <row r="1147" spans="1:16">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c r="P1147" s="14" t="s">
        <v>2522</v>
      </c>
    </row>
    <row r="1148" spans="1:16">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c r="P1148" s="14" t="s">
        <v>2523</v>
      </c>
    </row>
    <row r="1149" spans="1:16">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c r="P1149" s="14" t="s">
        <v>2522</v>
      </c>
    </row>
    <row r="1150" spans="1:16">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c r="P1150" s="14" t="s">
        <v>2521</v>
      </c>
    </row>
    <row r="1151" spans="1:16">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c r="P1151" s="14" t="s">
        <v>2523</v>
      </c>
    </row>
    <row r="1152" spans="1:16">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c r="P1152" s="14" t="s">
        <v>2521</v>
      </c>
    </row>
    <row r="1153" spans="1:16">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c r="P1153" s="14" t="s">
        <v>2524</v>
      </c>
    </row>
    <row r="1154" spans="1:16">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c r="P1154" s="14" t="s">
        <v>2521</v>
      </c>
    </row>
    <row r="1155" spans="1:16">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c r="P1155" s="14" t="s">
        <v>2524</v>
      </c>
    </row>
    <row r="1156" spans="1:16">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c r="P1156" s="14" t="s">
        <v>2522</v>
      </c>
    </row>
    <row r="1157" spans="1:16">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c r="P1157" s="14" t="s">
        <v>2523</v>
      </c>
    </row>
    <row r="1158" spans="1:16">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c r="P1158" s="14" t="s">
        <v>2522</v>
      </c>
    </row>
    <row r="1159" spans="1:16">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c r="P1159" s="14" t="s">
        <v>2521</v>
      </c>
    </row>
    <row r="1160" spans="1:16">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c r="P1160" s="14" t="s">
        <v>2523</v>
      </c>
    </row>
    <row r="1161" spans="1:16">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c r="P1161" s="14" t="s">
        <v>2521</v>
      </c>
    </row>
    <row r="1162" spans="1:16">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c r="P1162" s="14" t="s">
        <v>2524</v>
      </c>
    </row>
    <row r="1163" spans="1:16">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c r="P1163" s="14" t="s">
        <v>2521</v>
      </c>
    </row>
    <row r="1164" spans="1:16">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c r="P1164" s="14" t="s">
        <v>2524</v>
      </c>
    </row>
    <row r="1165" spans="1:16">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c r="P1165" s="14" t="s">
        <v>2522</v>
      </c>
    </row>
    <row r="1166" spans="1:16">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c r="P1166" s="14" t="s">
        <v>2523</v>
      </c>
    </row>
    <row r="1167" spans="1:16">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c r="P1167" s="14" t="s">
        <v>2522</v>
      </c>
    </row>
    <row r="1168" spans="1:16">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c r="P1168" s="14" t="s">
        <v>2521</v>
      </c>
    </row>
    <row r="1169" spans="1:16">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c r="P1169" s="14" t="s">
        <v>2523</v>
      </c>
    </row>
    <row r="1170" spans="1:16">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c r="P1170" s="14" t="s">
        <v>2521</v>
      </c>
    </row>
    <row r="1171" spans="1:16">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c r="P1171" s="14" t="s">
        <v>2524</v>
      </c>
    </row>
    <row r="1172" spans="1:16">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c r="P1172" s="14" t="s">
        <v>2521</v>
      </c>
    </row>
    <row r="1173" spans="1:16">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c r="P1173" s="14" t="s">
        <v>2524</v>
      </c>
    </row>
    <row r="1174" spans="1:16">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c r="P1174" s="14" t="s">
        <v>2522</v>
      </c>
    </row>
    <row r="1175" spans="1:16">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c r="P1175" s="14" t="s">
        <v>2523</v>
      </c>
    </row>
    <row r="1176" spans="1:16">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c r="P1176" s="14" t="s">
        <v>2522</v>
      </c>
    </row>
    <row r="1177" spans="1:16">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c r="P1177" s="14" t="s">
        <v>2521</v>
      </c>
    </row>
    <row r="1178" spans="1:16">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c r="P1178" s="14" t="s">
        <v>2523</v>
      </c>
    </row>
    <row r="1179" spans="1:16">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c r="P1179" s="14" t="s">
        <v>2521</v>
      </c>
    </row>
    <row r="1180" spans="1:16">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c r="P1180" s="14" t="s">
        <v>2524</v>
      </c>
    </row>
    <row r="1181" spans="1:16">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c r="P1181" s="14" t="s">
        <v>2521</v>
      </c>
    </row>
    <row r="1182" spans="1:16">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c r="P1182" s="14" t="s">
        <v>2524</v>
      </c>
    </row>
    <row r="1183" spans="1:16">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c r="P1183" s="14" t="s">
        <v>2522</v>
      </c>
    </row>
    <row r="1184" spans="1:16">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c r="P1184" s="14" t="s">
        <v>2523</v>
      </c>
    </row>
    <row r="1185" spans="1:16">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c r="P1185" s="14" t="s">
        <v>2522</v>
      </c>
    </row>
    <row r="1186" spans="1:16">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c r="P1186" s="14" t="s">
        <v>2521</v>
      </c>
    </row>
    <row r="1187" spans="1:16">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c r="P1187" s="14" t="s">
        <v>2523</v>
      </c>
    </row>
    <row r="1188" spans="1:16">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c r="P1188" s="14" t="s">
        <v>2521</v>
      </c>
    </row>
    <row r="1189" spans="1:16">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c r="P1189" s="14" t="s">
        <v>2524</v>
      </c>
    </row>
    <row r="1190" spans="1:16">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c r="P1190" s="14" t="s">
        <v>2521</v>
      </c>
    </row>
    <row r="1191" spans="1:16">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c r="P1191" s="14" t="s">
        <v>2524</v>
      </c>
    </row>
    <row r="1192" spans="1:16">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c r="P1192" s="14" t="s">
        <v>2522</v>
      </c>
    </row>
    <row r="1193" spans="1:16">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c r="P1193" s="14" t="s">
        <v>2523</v>
      </c>
    </row>
    <row r="1194" spans="1:16">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c r="P1194" s="14" t="s">
        <v>2522</v>
      </c>
    </row>
    <row r="1195" spans="1:16">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c r="P1195" s="14" t="s">
        <v>2521</v>
      </c>
    </row>
    <row r="1196" spans="1:16">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c r="P1196" s="14" t="s">
        <v>2523</v>
      </c>
    </row>
    <row r="1197" spans="1:16">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c r="P1197" s="14" t="s">
        <v>2521</v>
      </c>
    </row>
    <row r="1198" spans="1:16">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c r="P1198" s="14" t="s">
        <v>2524</v>
      </c>
    </row>
    <row r="1199" spans="1:16">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c r="P1199" s="14" t="s">
        <v>2521</v>
      </c>
    </row>
    <row r="1200" spans="1:16">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c r="P1200" s="14" t="s">
        <v>2524</v>
      </c>
    </row>
    <row r="1201" spans="1:16">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c r="P1201" s="14" t="s">
        <v>2522</v>
      </c>
    </row>
    <row r="1202" spans="1:16">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c r="P1202" s="14" t="s">
        <v>2523</v>
      </c>
    </row>
    <row r="1203" spans="1:16">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c r="P1203" s="14" t="s">
        <v>2522</v>
      </c>
    </row>
    <row r="1204" spans="1:16">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c r="P1204" s="14" t="s">
        <v>2521</v>
      </c>
    </row>
    <row r="1205" spans="1:16">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c r="P1205" s="14" t="s">
        <v>2523</v>
      </c>
    </row>
    <row r="1206" spans="1:16">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c r="P1206" s="14" t="s">
        <v>2521</v>
      </c>
    </row>
    <row r="1207" spans="1:16">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c r="P1207" s="14" t="s">
        <v>2524</v>
      </c>
    </row>
    <row r="1208" spans="1:16">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c r="P1208" s="14" t="s">
        <v>2521</v>
      </c>
    </row>
    <row r="1209" spans="1:16">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c r="P1209" s="14" t="s">
        <v>2524</v>
      </c>
    </row>
    <row r="1210" spans="1:16">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c r="P1210" s="14" t="s">
        <v>2522</v>
      </c>
    </row>
    <row r="1211" spans="1:16">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c r="P1211" s="14" t="s">
        <v>2523</v>
      </c>
    </row>
    <row r="1212" spans="1:16">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c r="P1212" s="14" t="s">
        <v>2522</v>
      </c>
    </row>
    <row r="1213" spans="1:16">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c r="P1213" s="14" t="s">
        <v>2521</v>
      </c>
    </row>
    <row r="1214" spans="1:16">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c r="P1214" s="14" t="s">
        <v>2523</v>
      </c>
    </row>
    <row r="1215" spans="1:16">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c r="P1215" s="14" t="s">
        <v>2521</v>
      </c>
    </row>
    <row r="1216" spans="1:16">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c r="P1216" s="14" t="s">
        <v>2524</v>
      </c>
    </row>
    <row r="1217" spans="1:16">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c r="P1217" s="14" t="s">
        <v>2521</v>
      </c>
    </row>
    <row r="1218" spans="1:16">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c r="P1218" s="14" t="s">
        <v>2524</v>
      </c>
    </row>
    <row r="1219" spans="1:16">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c r="P1219" s="14" t="s">
        <v>2522</v>
      </c>
    </row>
    <row r="1220" spans="1:16">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c r="P1220" s="14" t="s">
        <v>2523</v>
      </c>
    </row>
    <row r="1221" spans="1:16">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c r="P1221" s="14" t="s">
        <v>2522</v>
      </c>
    </row>
    <row r="1222" spans="1:16">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c r="P1222" s="14" t="s">
        <v>2521</v>
      </c>
    </row>
    <row r="1223" spans="1:16">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c r="P1223" s="14" t="s">
        <v>2523</v>
      </c>
    </row>
    <row r="1224" spans="1:16">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c r="P1224" s="14" t="s">
        <v>2521</v>
      </c>
    </row>
    <row r="1225" spans="1:16">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c r="P1225" s="14" t="s">
        <v>2524</v>
      </c>
    </row>
    <row r="1226" spans="1:16">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c r="P1226" s="14" t="s">
        <v>2521</v>
      </c>
    </row>
    <row r="1227" spans="1:16">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c r="P1227" s="14" t="s">
        <v>2524</v>
      </c>
    </row>
    <row r="1228" spans="1:16">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c r="P1228" s="14" t="s">
        <v>2522</v>
      </c>
    </row>
    <row r="1229" spans="1:16">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c r="P1229" s="14" t="s">
        <v>2523</v>
      </c>
    </row>
    <row r="1230" spans="1:16">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c r="P1230" s="14" t="s">
        <v>2522</v>
      </c>
    </row>
    <row r="1231" spans="1:16">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c r="P1231" s="14" t="s">
        <v>2521</v>
      </c>
    </row>
    <row r="1232" spans="1:16">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c r="P1232" s="14" t="s">
        <v>2523</v>
      </c>
    </row>
    <row r="1233" spans="1:16">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c r="P1233" s="14" t="s">
        <v>2521</v>
      </c>
    </row>
    <row r="1234" spans="1:16">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c r="P1234" s="14" t="s">
        <v>2524</v>
      </c>
    </row>
    <row r="1235" spans="1:16">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c r="P1235" s="14" t="s">
        <v>2521</v>
      </c>
    </row>
    <row r="1236" spans="1:16">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c r="P1236" s="14" t="s">
        <v>2524</v>
      </c>
    </row>
    <row r="1237" spans="1:16">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c r="P1237" s="14" t="s">
        <v>2522</v>
      </c>
    </row>
    <row r="1238" spans="1:16">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c r="P1238" s="14" t="s">
        <v>2523</v>
      </c>
    </row>
    <row r="1239" spans="1:16">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c r="P1239" s="14" t="s">
        <v>2522</v>
      </c>
    </row>
    <row r="1240" spans="1:16">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c r="P1240" s="14" t="s">
        <v>2521</v>
      </c>
    </row>
    <row r="1241" spans="1:16">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c r="P1241" s="14" t="s">
        <v>2523</v>
      </c>
    </row>
    <row r="1242" spans="1:16">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c r="P1242" s="14" t="s">
        <v>2521</v>
      </c>
    </row>
    <row r="1243" spans="1:16">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c r="P1243" s="14" t="s">
        <v>2524</v>
      </c>
    </row>
    <row r="1244" spans="1:16">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c r="P1244" s="14" t="s">
        <v>2521</v>
      </c>
    </row>
    <row r="1245" spans="1:16">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c r="P1245" s="14" t="s">
        <v>2524</v>
      </c>
    </row>
    <row r="1246" spans="1:16">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c r="P1246" s="14" t="s">
        <v>2522</v>
      </c>
    </row>
    <row r="1247" spans="1:16">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c r="P1247" s="14" t="s">
        <v>2523</v>
      </c>
    </row>
    <row r="1248" spans="1:16">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c r="P1248" s="14" t="s">
        <v>2522</v>
      </c>
    </row>
    <row r="1249" spans="1:16">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c r="P1249" s="14" t="s">
        <v>2521</v>
      </c>
    </row>
    <row r="1250" spans="1:16">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c r="P1250" s="14" t="s">
        <v>2523</v>
      </c>
    </row>
    <row r="1251" spans="1:16">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c r="P1251" s="14" t="s">
        <v>2521</v>
      </c>
    </row>
    <row r="1252" spans="1:16">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c r="P1252" s="14" t="s">
        <v>2524</v>
      </c>
    </row>
    <row r="1253" spans="1:16">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c r="P1253" s="14" t="s">
        <v>2521</v>
      </c>
    </row>
    <row r="1254" spans="1:16">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c r="P1254" s="14" t="s">
        <v>2524</v>
      </c>
    </row>
    <row r="1255" spans="1:16">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c r="P1255" s="14" t="s">
        <v>2522</v>
      </c>
    </row>
    <row r="1256" spans="1:16">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c r="P1256" s="14" t="s">
        <v>2523</v>
      </c>
    </row>
    <row r="1257" spans="1:16">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c r="P1257" s="14" t="s">
        <v>2522</v>
      </c>
    </row>
    <row r="1258" spans="1:16">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c r="P1258" s="14" t="s">
        <v>2521</v>
      </c>
    </row>
    <row r="1259" spans="1:16">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c r="P1259" s="14" t="s">
        <v>2523</v>
      </c>
    </row>
    <row r="1260" spans="1:16">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c r="P1260" s="14" t="s">
        <v>2521</v>
      </c>
    </row>
    <row r="1261" spans="1:16">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c r="P1261" s="14" t="s">
        <v>2524</v>
      </c>
    </row>
    <row r="1262" spans="1:16">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c r="P1262" s="14" t="s">
        <v>2521</v>
      </c>
    </row>
    <row r="1263" spans="1:16">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c r="P1263" s="14" t="s">
        <v>2524</v>
      </c>
    </row>
    <row r="1264" spans="1:16">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c r="P1264" s="14" t="s">
        <v>2522</v>
      </c>
    </row>
    <row r="1265" spans="1:16">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c r="P1265" s="14" t="s">
        <v>2523</v>
      </c>
    </row>
    <row r="1266" spans="1:16">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c r="P1266" s="14" t="s">
        <v>2522</v>
      </c>
    </row>
    <row r="1267" spans="1:16">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c r="P1267" s="14" t="s">
        <v>2521</v>
      </c>
    </row>
    <row r="1268" spans="1:16">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c r="P1268" s="14" t="s">
        <v>2523</v>
      </c>
    </row>
    <row r="1269" spans="1:16">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c r="P1269" s="14" t="s">
        <v>2521</v>
      </c>
    </row>
    <row r="1270" spans="1:16">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c r="P1270" s="14" t="s">
        <v>2524</v>
      </c>
    </row>
    <row r="1271" spans="1:16">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c r="P1271" s="14" t="s">
        <v>2521</v>
      </c>
    </row>
    <row r="1272" spans="1:16">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c r="P1272" s="14" t="s">
        <v>2524</v>
      </c>
    </row>
    <row r="1273" spans="1:16">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c r="P1273" s="14" t="s">
        <v>2522</v>
      </c>
    </row>
    <row r="1274" spans="1:16">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c r="P1274" s="14" t="s">
        <v>2523</v>
      </c>
    </row>
    <row r="1275" spans="1:16">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c r="P1275" s="14" t="s">
        <v>2522</v>
      </c>
    </row>
    <row r="1276" spans="1:16">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c r="P1276" s="14" t="s">
        <v>2521</v>
      </c>
    </row>
    <row r="1277" spans="1:16">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c r="P1277" s="14" t="s">
        <v>2523</v>
      </c>
    </row>
    <row r="1278" spans="1:16">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c r="P1278" s="14" t="s">
        <v>2521</v>
      </c>
    </row>
    <row r="1279" spans="1:16">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c r="P1279" s="14" t="s">
        <v>2524</v>
      </c>
    </row>
    <row r="1280" spans="1:16">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c r="P1280" s="14" t="s">
        <v>2521</v>
      </c>
    </row>
    <row r="1281" spans="1:16">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c r="P1281" s="14" t="s">
        <v>2524</v>
      </c>
    </row>
    <row r="1282" spans="1:16">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c r="P1282" s="14" t="s">
        <v>2522</v>
      </c>
    </row>
    <row r="1283" spans="1:16">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c r="P1283" s="14" t="s">
        <v>2523</v>
      </c>
    </row>
    <row r="1284" spans="1:16">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c r="P1284" s="14" t="s">
        <v>2522</v>
      </c>
    </row>
    <row r="1285" spans="1:16">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c r="P1285" s="14" t="s">
        <v>2521</v>
      </c>
    </row>
    <row r="1286" spans="1:16">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c r="P1286" s="14" t="s">
        <v>2523</v>
      </c>
    </row>
    <row r="1287" spans="1:16">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c r="P1287" s="14" t="s">
        <v>2521</v>
      </c>
    </row>
    <row r="1288" spans="1:16">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c r="P1288" s="14" t="s">
        <v>2524</v>
      </c>
    </row>
    <row r="1289" spans="1:16">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c r="P1289" s="14" t="s">
        <v>2521</v>
      </c>
    </row>
    <row r="1290" spans="1:16">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c r="P1290" s="14" t="s">
        <v>2524</v>
      </c>
    </row>
    <row r="1291" spans="1:16">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c r="P1291" s="14" t="s">
        <v>2522</v>
      </c>
    </row>
    <row r="1292" spans="1:16">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c r="P1292" s="14" t="s">
        <v>2523</v>
      </c>
    </row>
    <row r="1293" spans="1:16">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c r="P1293" s="14" t="s">
        <v>2522</v>
      </c>
    </row>
    <row r="1294" spans="1:16">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c r="P1294" s="14" t="s">
        <v>2521</v>
      </c>
    </row>
    <row r="1295" spans="1:16">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c r="P1295" s="14" t="s">
        <v>2523</v>
      </c>
    </row>
    <row r="1296" spans="1:16">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c r="P1296" s="14" t="s">
        <v>2521</v>
      </c>
    </row>
    <row r="1297" spans="1:16">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c r="P1297" s="14" t="s">
        <v>2524</v>
      </c>
    </row>
    <row r="1298" spans="1:16">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c r="P1298" s="14" t="s">
        <v>2521</v>
      </c>
    </row>
    <row r="1299" spans="1:16">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c r="P1299" s="14" t="s">
        <v>2524</v>
      </c>
    </row>
    <row r="1300" spans="1:16">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c r="P1300" s="14" t="s">
        <v>2522</v>
      </c>
    </row>
    <row r="1301" spans="1:16">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c r="P1301" s="14" t="s">
        <v>2523</v>
      </c>
    </row>
    <row r="1302" spans="1:16">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c r="P1302" s="14" t="s">
        <v>2522</v>
      </c>
    </row>
    <row r="1303" spans="1:16">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c r="P1303" s="14" t="s">
        <v>2521</v>
      </c>
    </row>
    <row r="1304" spans="1:16">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c r="P1304" s="14" t="s">
        <v>2523</v>
      </c>
    </row>
    <row r="1305" spans="1:16">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c r="P1305" s="14" t="s">
        <v>2521</v>
      </c>
    </row>
    <row r="1306" spans="1:16">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c r="P1306" s="14" t="s">
        <v>2524</v>
      </c>
    </row>
    <row r="1307" spans="1:16">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c r="P1307" s="14" t="s">
        <v>2521</v>
      </c>
    </row>
    <row r="1308" spans="1:16">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c r="P1308" s="14" t="s">
        <v>2524</v>
      </c>
    </row>
    <row r="1309" spans="1:16">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c r="P1309" s="14" t="s">
        <v>2522</v>
      </c>
    </row>
    <row r="1310" spans="1:16">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c r="P1310" s="14" t="s">
        <v>2523</v>
      </c>
    </row>
    <row r="1311" spans="1:16">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c r="P1311" s="14" t="s">
        <v>2522</v>
      </c>
    </row>
    <row r="1312" spans="1:16">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c r="P1312" s="14" t="s">
        <v>2521</v>
      </c>
    </row>
    <row r="1313" spans="1:16">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c r="P1313" s="14" t="s">
        <v>2523</v>
      </c>
    </row>
    <row r="1314" spans="1:16">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c r="P1314" s="14" t="s">
        <v>2521</v>
      </c>
    </row>
    <row r="1315" spans="1:16">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c r="P1315" s="14" t="s">
        <v>2524</v>
      </c>
    </row>
    <row r="1316" spans="1:16">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c r="P1316" s="14" t="s">
        <v>2521</v>
      </c>
    </row>
    <row r="1317" spans="1:16">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c r="P1317" s="14" t="s">
        <v>2524</v>
      </c>
    </row>
    <row r="1318" spans="1:16">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c r="P1318" s="14" t="s">
        <v>2522</v>
      </c>
    </row>
    <row r="1319" spans="1:16">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c r="P1319" s="14" t="s">
        <v>2523</v>
      </c>
    </row>
    <row r="1320" spans="1:16">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c r="P1320" s="14" t="s">
        <v>2522</v>
      </c>
    </row>
    <row r="1321" spans="1:16">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c r="P1321" s="14" t="s">
        <v>2521</v>
      </c>
    </row>
    <row r="1322" spans="1:16">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c r="P1322" s="14" t="s">
        <v>2523</v>
      </c>
    </row>
    <row r="1323" spans="1:16">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c r="P1323" s="14" t="s">
        <v>2521</v>
      </c>
    </row>
    <row r="1324" spans="1:16">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c r="P1324" s="14" t="s">
        <v>2524</v>
      </c>
    </row>
    <row r="1325" spans="1:16">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c r="P1325" s="14" t="s">
        <v>2521</v>
      </c>
    </row>
    <row r="1326" spans="1:16">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c r="P1326" s="14" t="s">
        <v>2524</v>
      </c>
    </row>
    <row r="1327" spans="1:16">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c r="P1327" s="14" t="s">
        <v>2522</v>
      </c>
    </row>
    <row r="1328" spans="1:16">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c r="P1328" s="14" t="s">
        <v>2523</v>
      </c>
    </row>
    <row r="1329" spans="1:16">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c r="P1329" s="14" t="s">
        <v>2522</v>
      </c>
    </row>
    <row r="1330" spans="1:16">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c r="P1330" s="14" t="s">
        <v>2521</v>
      </c>
    </row>
    <row r="1331" spans="1:16">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c r="P1331" s="14" t="s">
        <v>2523</v>
      </c>
    </row>
    <row r="1332" spans="1:16">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c r="P1332" s="14" t="s">
        <v>2521</v>
      </c>
    </row>
    <row r="1333" spans="1:16">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c r="P1333" s="14" t="s">
        <v>2524</v>
      </c>
    </row>
    <row r="1334" spans="1:16">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c r="P1334" s="14" t="s">
        <v>2521</v>
      </c>
    </row>
    <row r="1335" spans="1:16">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c r="P1335" s="14" t="s">
        <v>2524</v>
      </c>
    </row>
    <row r="1336" spans="1:16">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c r="P1336" s="14" t="s">
        <v>2522</v>
      </c>
    </row>
    <row r="1337" spans="1:16">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c r="P1337" s="14" t="s">
        <v>2523</v>
      </c>
    </row>
    <row r="1338" spans="1:16">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c r="P1338" s="14" t="s">
        <v>2522</v>
      </c>
    </row>
    <row r="1339" spans="1:16">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c r="P1339" s="14" t="s">
        <v>2521</v>
      </c>
    </row>
    <row r="1340" spans="1:16">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c r="P1340" s="14" t="s">
        <v>2523</v>
      </c>
    </row>
    <row r="1341" spans="1:16">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c r="P1341" s="14" t="s">
        <v>2521</v>
      </c>
    </row>
    <row r="1342" spans="1:16">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c r="P1342" s="14" t="s">
        <v>2524</v>
      </c>
    </row>
    <row r="1343" spans="1:16">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c r="P1343" s="14" t="s">
        <v>2521</v>
      </c>
    </row>
    <row r="1344" spans="1:16">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c r="P1344" s="14" t="s">
        <v>2524</v>
      </c>
    </row>
    <row r="1345" spans="1:16">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c r="P1345" s="14" t="s">
        <v>2522</v>
      </c>
    </row>
    <row r="1346" spans="1:16">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c r="P1346" s="14" t="s">
        <v>2523</v>
      </c>
    </row>
    <row r="1347" spans="1:16">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c r="P1347" s="14" t="s">
        <v>2522</v>
      </c>
    </row>
    <row r="1348" spans="1:16">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c r="P1348" s="14" t="s">
        <v>2521</v>
      </c>
    </row>
    <row r="1349" spans="1:16">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c r="P1349" s="14" t="s">
        <v>2523</v>
      </c>
    </row>
    <row r="1350" spans="1:16">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c r="P1350" s="14" t="s">
        <v>2521</v>
      </c>
    </row>
    <row r="1351" spans="1:16">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c r="P1351" s="14" t="s">
        <v>2524</v>
      </c>
    </row>
    <row r="1352" spans="1:16">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c r="P1352" s="14" t="s">
        <v>2521</v>
      </c>
    </row>
    <row r="1353" spans="1:16">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c r="P1353" s="14" t="s">
        <v>2524</v>
      </c>
    </row>
    <row r="1354" spans="1:16">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c r="P1354" s="14" t="s">
        <v>2522</v>
      </c>
    </row>
    <row r="1355" spans="1:16">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c r="P1355" s="14" t="s">
        <v>2523</v>
      </c>
    </row>
    <row r="1356" spans="1:16">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c r="P1356" s="14" t="s">
        <v>2522</v>
      </c>
    </row>
    <row r="1357" spans="1:16">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c r="P1357" s="14" t="s">
        <v>2521</v>
      </c>
    </row>
    <row r="1358" spans="1:16">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c r="P1358" s="14" t="s">
        <v>2523</v>
      </c>
    </row>
    <row r="1359" spans="1:16">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c r="P1359" s="14" t="s">
        <v>2521</v>
      </c>
    </row>
    <row r="1360" spans="1:16">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c r="P1360" s="14" t="s">
        <v>2524</v>
      </c>
    </row>
    <row r="1361" spans="1:16">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c r="P1361" s="14" t="s">
        <v>2521</v>
      </c>
    </row>
    <row r="1362" spans="1:16">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c r="P1362" s="14" t="s">
        <v>2524</v>
      </c>
    </row>
    <row r="1363" spans="1:16">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c r="P1363" s="14" t="s">
        <v>2522</v>
      </c>
    </row>
    <row r="1364" spans="1:16">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c r="P1364" s="14" t="s">
        <v>2523</v>
      </c>
    </row>
    <row r="1365" spans="1:16">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c r="P1365" s="14" t="s">
        <v>2522</v>
      </c>
    </row>
    <row r="1366" spans="1:16">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c r="P1366" s="14" t="s">
        <v>2521</v>
      </c>
    </row>
    <row r="1367" spans="1:16">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c r="P1367" s="14" t="s">
        <v>2523</v>
      </c>
    </row>
    <row r="1368" spans="1:16">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c r="P1368" s="14" t="s">
        <v>2521</v>
      </c>
    </row>
    <row r="1369" spans="1:16">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c r="P1369" s="14" t="s">
        <v>2524</v>
      </c>
    </row>
    <row r="1370" spans="1:16">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c r="P1370" s="14" t="s">
        <v>2521</v>
      </c>
    </row>
    <row r="1371" spans="1:16">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c r="P1371" s="14" t="s">
        <v>2524</v>
      </c>
    </row>
    <row r="1372" spans="1:16">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c r="P1372" s="14" t="s">
        <v>2522</v>
      </c>
    </row>
    <row r="1373" spans="1:16">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c r="P1373" s="14" t="s">
        <v>2523</v>
      </c>
    </row>
    <row r="1374" spans="1:16">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c r="P1374" s="14" t="s">
        <v>2522</v>
      </c>
    </row>
    <row r="1375" spans="1:16">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c r="P1375" s="14" t="s">
        <v>2521</v>
      </c>
    </row>
    <row r="1376" spans="1:16">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c r="P1376" s="14" t="s">
        <v>2523</v>
      </c>
    </row>
    <row r="1377" spans="1:16">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c r="P1377" s="14" t="s">
        <v>2521</v>
      </c>
    </row>
    <row r="1378" spans="1:16">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c r="P1378" s="14" t="s">
        <v>2524</v>
      </c>
    </row>
    <row r="1379" spans="1:16">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c r="P1379" s="14" t="s">
        <v>2521</v>
      </c>
    </row>
    <row r="1380" spans="1:16">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c r="P1380" s="14" t="s">
        <v>2524</v>
      </c>
    </row>
    <row r="1381" spans="1:16">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c r="P1381" s="14" t="s">
        <v>2522</v>
      </c>
    </row>
    <row r="1382" spans="1:16">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c r="P1382" s="14" t="s">
        <v>2523</v>
      </c>
    </row>
    <row r="1383" spans="1:16">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c r="P1383" s="14" t="s">
        <v>2522</v>
      </c>
    </row>
    <row r="1384" spans="1:16">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c r="P1384" s="14" t="s">
        <v>2521</v>
      </c>
    </row>
    <row r="1385" spans="1:16">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c r="P1385" s="14" t="s">
        <v>2523</v>
      </c>
    </row>
    <row r="1386" spans="1:16">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c r="P1386" s="14" t="s">
        <v>2521</v>
      </c>
    </row>
    <row r="1387" spans="1:16">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c r="P1387" s="14" t="s">
        <v>2524</v>
      </c>
    </row>
    <row r="1388" spans="1:16">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c r="P1388" s="14" t="s">
        <v>2521</v>
      </c>
    </row>
    <row r="1389" spans="1:16">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c r="P1389" s="14" t="s">
        <v>2524</v>
      </c>
    </row>
    <row r="1390" spans="1:16">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c r="P1390" s="14" t="s">
        <v>2522</v>
      </c>
    </row>
    <row r="1391" spans="1:16">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c r="P1391" s="14" t="s">
        <v>2523</v>
      </c>
    </row>
    <row r="1392" spans="1:16">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c r="P1392" s="14" t="s">
        <v>2522</v>
      </c>
    </row>
    <row r="1393" spans="1:16">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c r="P1393" s="14" t="s">
        <v>2521</v>
      </c>
    </row>
    <row r="1394" spans="1:16">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c r="P1394" s="14" t="s">
        <v>2523</v>
      </c>
    </row>
    <row r="1395" spans="1:16">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c r="P1395" s="14" t="s">
        <v>2521</v>
      </c>
    </row>
    <row r="1396" spans="1:16">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c r="P1396" s="14" t="s">
        <v>2524</v>
      </c>
    </row>
    <row r="1397" spans="1:16">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c r="P1397" s="14" t="s">
        <v>2521</v>
      </c>
    </row>
    <row r="1398" spans="1:16">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c r="P1398" s="14" t="s">
        <v>2524</v>
      </c>
    </row>
    <row r="1399" spans="1:16">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c r="P1399" s="14" t="s">
        <v>2522</v>
      </c>
    </row>
    <row r="1400" spans="1:16">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c r="P1400" s="14" t="s">
        <v>2523</v>
      </c>
    </row>
    <row r="1401" spans="1:16">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c r="P1401" s="14" t="s">
        <v>2522</v>
      </c>
    </row>
    <row r="1402" spans="1:16">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c r="P1402" s="14" t="s">
        <v>2521</v>
      </c>
    </row>
    <row r="1403" spans="1:16">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c r="P1403" s="14" t="s">
        <v>2523</v>
      </c>
    </row>
    <row r="1404" spans="1:16">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c r="P1404" s="14" t="s">
        <v>2521</v>
      </c>
    </row>
    <row r="1405" spans="1:16">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c r="P1405" s="14" t="s">
        <v>2524</v>
      </c>
    </row>
    <row r="1406" spans="1:16">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c r="P1406" s="14" t="s">
        <v>2521</v>
      </c>
    </row>
    <row r="1407" spans="1:16">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c r="P1407" s="14" t="s">
        <v>2524</v>
      </c>
    </row>
    <row r="1408" spans="1:16">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c r="P1408" s="14" t="s">
        <v>2522</v>
      </c>
    </row>
    <row r="1409" spans="1:16">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c r="P1409" s="14" t="s">
        <v>2523</v>
      </c>
    </row>
    <row r="1410" spans="1:16">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c r="P1410" s="14" t="s">
        <v>2522</v>
      </c>
    </row>
    <row r="1411" spans="1:16">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c r="P1411" s="14" t="s">
        <v>2521</v>
      </c>
    </row>
    <row r="1412" spans="1:16">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c r="P1412" s="14" t="s">
        <v>2523</v>
      </c>
    </row>
    <row r="1413" spans="1:16">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c r="P1413" s="14" t="s">
        <v>2521</v>
      </c>
    </row>
    <row r="1414" spans="1:16">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c r="P1414" s="14" t="s">
        <v>2524</v>
      </c>
    </row>
    <row r="1415" spans="1:16">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c r="P1415" s="14" t="s">
        <v>2521</v>
      </c>
    </row>
    <row r="1416" spans="1:16">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c r="P1416" s="14" t="s">
        <v>2524</v>
      </c>
    </row>
    <row r="1417" spans="1:16">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c r="P1417" s="14" t="s">
        <v>2522</v>
      </c>
    </row>
    <row r="1418" spans="1:16">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c r="P1418" s="14" t="s">
        <v>2523</v>
      </c>
    </row>
    <row r="1419" spans="1:16">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c r="P1419" s="14" t="s">
        <v>2522</v>
      </c>
    </row>
    <row r="1420" spans="1:16">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c r="P1420" s="14" t="s">
        <v>2521</v>
      </c>
    </row>
    <row r="1421" spans="1:16">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c r="P1421" s="14" t="s">
        <v>2523</v>
      </c>
    </row>
    <row r="1422" spans="1:16">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c r="P1422" s="14" t="s">
        <v>2521</v>
      </c>
    </row>
    <row r="1423" spans="1:16">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c r="P1423" s="14" t="s">
        <v>2524</v>
      </c>
    </row>
    <row r="1424" spans="1:16">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c r="P1424" s="14" t="s">
        <v>2521</v>
      </c>
    </row>
    <row r="1425" spans="1:16">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c r="P1425" s="14" t="s">
        <v>2524</v>
      </c>
    </row>
    <row r="1426" spans="1:16">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c r="P1426" s="14" t="s">
        <v>2522</v>
      </c>
    </row>
    <row r="1427" spans="1:16">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c r="P1427" s="14" t="s">
        <v>2523</v>
      </c>
    </row>
    <row r="1428" spans="1:16">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c r="P1428" s="14" t="s">
        <v>2522</v>
      </c>
    </row>
    <row r="1429" spans="1:16">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c r="P1429" s="14" t="s">
        <v>2521</v>
      </c>
    </row>
    <row r="1430" spans="1:16">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c r="P1430" s="14" t="s">
        <v>2523</v>
      </c>
    </row>
    <row r="1431" spans="1:16">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c r="P1431" s="14" t="s">
        <v>2521</v>
      </c>
    </row>
    <row r="1432" spans="1:16">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c r="P1432" s="14" t="s">
        <v>2524</v>
      </c>
    </row>
    <row r="1433" spans="1:16">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c r="P1433" s="14" t="s">
        <v>2521</v>
      </c>
    </row>
    <row r="1434" spans="1:16">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c r="P1434" s="14" t="s">
        <v>2524</v>
      </c>
    </row>
    <row r="1435" spans="1:16">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c r="P1435" s="14" t="s">
        <v>2522</v>
      </c>
    </row>
    <row r="1436" spans="1:16">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c r="P1436" s="14" t="s">
        <v>2523</v>
      </c>
    </row>
    <row r="1437" spans="1:16">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c r="P1437" s="14" t="s">
        <v>2522</v>
      </c>
    </row>
    <row r="1438" spans="1:16">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c r="P1438" s="14" t="s">
        <v>2521</v>
      </c>
    </row>
    <row r="1439" spans="1:16">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c r="P1439" s="14" t="s">
        <v>2523</v>
      </c>
    </row>
    <row r="1440" spans="1:16">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c r="P1440" s="14" t="s">
        <v>2521</v>
      </c>
    </row>
    <row r="1441" spans="1:16">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c r="P1441" s="14" t="s">
        <v>2524</v>
      </c>
    </row>
    <row r="1442" spans="1:16">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c r="P1442" s="14" t="s">
        <v>2521</v>
      </c>
    </row>
    <row r="1443" spans="1:16">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c r="P1443" s="14" t="s">
        <v>2524</v>
      </c>
    </row>
    <row r="1444" spans="1:16">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c r="P1444" s="14" t="s">
        <v>2522</v>
      </c>
    </row>
    <row r="1445" spans="1:16">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c r="P1445" s="14" t="s">
        <v>2523</v>
      </c>
    </row>
    <row r="1446" spans="1:16">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c r="P1446" s="14" t="s">
        <v>2522</v>
      </c>
    </row>
    <row r="1447" spans="1:16">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c r="P1447" s="14" t="s">
        <v>2521</v>
      </c>
    </row>
    <row r="1448" spans="1:16">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c r="P1448" s="14" t="s">
        <v>2523</v>
      </c>
    </row>
    <row r="1449" spans="1:16">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c r="P1449" s="14" t="s">
        <v>2521</v>
      </c>
    </row>
    <row r="1450" spans="1:16">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c r="P1450" s="14" t="s">
        <v>2524</v>
      </c>
    </row>
    <row r="1451" spans="1:16">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c r="P1451" s="14" t="s">
        <v>2521</v>
      </c>
    </row>
    <row r="1452" spans="1:16">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c r="P1452" s="14" t="s">
        <v>2524</v>
      </c>
    </row>
    <row r="1453" spans="1:16">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c r="P1453" s="14" t="s">
        <v>2522</v>
      </c>
    </row>
    <row r="1454" spans="1:16">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c r="P1454" s="14" t="s">
        <v>2523</v>
      </c>
    </row>
    <row r="1455" spans="1:16">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c r="P1455" s="14" t="s">
        <v>2522</v>
      </c>
    </row>
    <row r="1456" spans="1:16">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c r="P1456" s="14" t="s">
        <v>2521</v>
      </c>
    </row>
    <row r="1457" spans="1:16">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c r="P1457" s="14" t="s">
        <v>2523</v>
      </c>
    </row>
    <row r="1458" spans="1:16">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c r="P1458" s="14" t="s">
        <v>2521</v>
      </c>
    </row>
    <row r="1459" spans="1:16">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c r="P1459" s="14" t="s">
        <v>2524</v>
      </c>
    </row>
    <row r="1460" spans="1:16">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c r="P1460" s="14" t="s">
        <v>2521</v>
      </c>
    </row>
    <row r="1461" spans="1:16">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c r="P1461" s="14" t="s">
        <v>2524</v>
      </c>
    </row>
    <row r="1462" spans="1:16">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c r="P1462" s="14" t="s">
        <v>2522</v>
      </c>
    </row>
    <row r="1463" spans="1:16">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c r="P1463" s="14" t="s">
        <v>2523</v>
      </c>
    </row>
    <row r="1464" spans="1:16">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c r="P1464" s="14" t="s">
        <v>2522</v>
      </c>
    </row>
    <row r="1465" spans="1:16">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c r="P1465" s="14" t="s">
        <v>2521</v>
      </c>
    </row>
    <row r="1466" spans="1:16">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c r="P1466" s="14" t="s">
        <v>2523</v>
      </c>
    </row>
    <row r="1467" spans="1:16">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c r="P1467" s="14" t="s">
        <v>2521</v>
      </c>
    </row>
    <row r="1468" spans="1:16">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c r="P1468" s="14" t="s">
        <v>2524</v>
      </c>
    </row>
    <row r="1469" spans="1:16">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c r="P1469" s="14" t="s">
        <v>2521</v>
      </c>
    </row>
    <row r="1470" spans="1:16">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c r="P1470" s="14" t="s">
        <v>2524</v>
      </c>
    </row>
    <row r="1471" spans="1:16">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c r="P1471" s="14" t="s">
        <v>2522</v>
      </c>
    </row>
    <row r="1472" spans="1:16">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c r="P1472" s="14" t="s">
        <v>2523</v>
      </c>
    </row>
    <row r="1473" spans="1:16">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c r="P1473" s="14" t="s">
        <v>2522</v>
      </c>
    </row>
    <row r="1474" spans="1:16">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c r="P1474" s="14" t="s">
        <v>2521</v>
      </c>
    </row>
    <row r="1475" spans="1:16">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c r="P1475" s="14" t="s">
        <v>2523</v>
      </c>
    </row>
    <row r="1476" spans="1:16">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c r="P1476" s="14" t="s">
        <v>2521</v>
      </c>
    </row>
    <row r="1477" spans="1:16">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c r="P1477" s="14" t="s">
        <v>2524</v>
      </c>
    </row>
    <row r="1478" spans="1:16">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c r="P1478" s="14" t="s">
        <v>2521</v>
      </c>
    </row>
    <row r="1479" spans="1:16">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c r="P1479" s="14" t="s">
        <v>2524</v>
      </c>
    </row>
    <row r="1480" spans="1:16">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c r="P1480" s="14" t="s">
        <v>2522</v>
      </c>
    </row>
    <row r="1481" spans="1:16">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c r="P1481" s="14" t="s">
        <v>2523</v>
      </c>
    </row>
    <row r="1482" spans="1:16">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c r="P1482" s="14" t="s">
        <v>2522</v>
      </c>
    </row>
    <row r="1483" spans="1:16">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c r="P1483" s="14" t="s">
        <v>2521</v>
      </c>
    </row>
    <row r="1484" spans="1:16">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c r="P1484" s="14" t="s">
        <v>2523</v>
      </c>
    </row>
    <row r="1485" spans="1:16">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c r="P1485" s="14" t="s">
        <v>2521</v>
      </c>
    </row>
    <row r="1486" spans="1:16">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c r="P1486" s="14" t="s">
        <v>2524</v>
      </c>
    </row>
    <row r="1487" spans="1:16">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c r="P1487" s="14" t="s">
        <v>2521</v>
      </c>
    </row>
    <row r="1488" spans="1:16">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c r="P1488" s="14" t="s">
        <v>2524</v>
      </c>
    </row>
    <row r="1489" spans="1:16">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c r="P1489" s="14" t="s">
        <v>2522</v>
      </c>
    </row>
    <row r="1490" spans="1:16">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c r="P1490" s="14" t="s">
        <v>2523</v>
      </c>
    </row>
    <row r="1491" spans="1:16">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c r="P1491" s="14" t="s">
        <v>2522</v>
      </c>
    </row>
    <row r="1492" spans="1:16">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c r="P1492" s="14" t="s">
        <v>2521</v>
      </c>
    </row>
    <row r="1493" spans="1:16">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c r="P1493" s="14" t="s">
        <v>2523</v>
      </c>
    </row>
    <row r="1494" spans="1:16">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c r="P1494" s="14" t="s">
        <v>2521</v>
      </c>
    </row>
    <row r="1495" spans="1:16">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c r="P1495" s="14" t="s">
        <v>2524</v>
      </c>
    </row>
    <row r="1496" spans="1:16">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c r="P1496" s="14" t="s">
        <v>2521</v>
      </c>
    </row>
    <row r="1497" spans="1:16">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c r="P1497" s="14" t="s">
        <v>2524</v>
      </c>
    </row>
    <row r="1498" spans="1:16">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c r="P1498" s="14" t="s">
        <v>2522</v>
      </c>
    </row>
    <row r="1499" spans="1:16">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c r="P1499" s="14" t="s">
        <v>2523</v>
      </c>
    </row>
    <row r="1500" spans="1:16">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c r="P1500" s="14" t="s">
        <v>2522</v>
      </c>
    </row>
    <row r="1501" spans="1:16">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c r="P1501" s="14" t="s">
        <v>2521</v>
      </c>
    </row>
    <row r="1502" spans="1:16">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c r="P1502" s="14" t="s">
        <v>2523</v>
      </c>
    </row>
    <row r="1503" spans="1:16">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c r="P1503" s="14" t="s">
        <v>2521</v>
      </c>
    </row>
    <row r="1504" spans="1:16">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c r="P1504" s="14" t="s">
        <v>2524</v>
      </c>
    </row>
    <row r="1505" spans="1:16">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c r="P1505" s="14" t="s">
        <v>2521</v>
      </c>
    </row>
    <row r="1506" spans="1:16">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c r="P1506" s="14" t="s">
        <v>2524</v>
      </c>
    </row>
    <row r="1507" spans="1:16">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c r="P1507" s="14" t="s">
        <v>2522</v>
      </c>
    </row>
    <row r="1508" spans="1:16">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c r="P1508" s="14" t="s">
        <v>2523</v>
      </c>
    </row>
    <row r="1509" spans="1:16">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c r="P1509" s="14" t="s">
        <v>2522</v>
      </c>
    </row>
    <row r="1510" spans="1:16">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c r="P1510" s="14" t="s">
        <v>2521</v>
      </c>
    </row>
    <row r="1511" spans="1:16">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c r="P1511" s="14" t="s">
        <v>2523</v>
      </c>
    </row>
    <row r="1512" spans="1:16">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c r="P1512" s="14" t="s">
        <v>2521</v>
      </c>
    </row>
    <row r="1513" spans="1:16">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c r="P1513" s="14" t="s">
        <v>2524</v>
      </c>
    </row>
    <row r="1514" spans="1:16">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c r="P1514" s="14" t="s">
        <v>2521</v>
      </c>
    </row>
    <row r="1515" spans="1:16">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c r="P1515" s="14" t="s">
        <v>2524</v>
      </c>
    </row>
    <row r="1516" spans="1:16">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c r="P1516" s="14" t="s">
        <v>2522</v>
      </c>
    </row>
    <row r="1517" spans="1:16">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c r="P1517" s="14" t="s">
        <v>2523</v>
      </c>
    </row>
    <row r="1518" spans="1:16">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c r="P1518" s="14" t="s">
        <v>2522</v>
      </c>
    </row>
    <row r="1519" spans="1:16">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c r="P1519" s="14" t="s">
        <v>2521</v>
      </c>
    </row>
    <row r="1520" spans="1:16">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c r="P1520" s="14" t="s">
        <v>2523</v>
      </c>
    </row>
    <row r="1521" spans="1:16">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c r="P1521" s="14" t="s">
        <v>2521</v>
      </c>
    </row>
    <row r="1522" spans="1:16">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c r="P1522" s="14" t="s">
        <v>2524</v>
      </c>
    </row>
    <row r="1523" spans="1:16">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c r="P1523" s="14" t="s">
        <v>2521</v>
      </c>
    </row>
    <row r="1524" spans="1:16">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c r="P1524" s="14" t="s">
        <v>2524</v>
      </c>
    </row>
    <row r="1525" spans="1:16">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c r="P1525" s="14" t="s">
        <v>2522</v>
      </c>
    </row>
    <row r="1526" spans="1:16">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c r="P1526" s="14" t="s">
        <v>2523</v>
      </c>
    </row>
    <row r="1527" spans="1:16">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c r="P1527" s="14" t="s">
        <v>2522</v>
      </c>
    </row>
    <row r="1528" spans="1:16">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c r="P1528" s="14" t="s">
        <v>2521</v>
      </c>
    </row>
    <row r="1529" spans="1:16">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c r="P1529" s="14" t="s">
        <v>2523</v>
      </c>
    </row>
    <row r="1530" spans="1:16">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c r="P1530" s="14" t="s">
        <v>2521</v>
      </c>
    </row>
    <row r="1531" spans="1:16">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c r="P1531" s="14" t="s">
        <v>2524</v>
      </c>
    </row>
    <row r="1532" spans="1:16">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c r="P1532" s="14" t="s">
        <v>2521</v>
      </c>
    </row>
    <row r="1533" spans="1:16">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c r="P1533" s="14" t="s">
        <v>2524</v>
      </c>
    </row>
    <row r="1534" spans="1:16">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c r="P1534" s="14" t="s">
        <v>2522</v>
      </c>
    </row>
    <row r="1535" spans="1:16">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c r="P1535" s="14" t="s">
        <v>2523</v>
      </c>
    </row>
    <row r="1536" spans="1:16">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c r="P1536" s="14" t="s">
        <v>2522</v>
      </c>
    </row>
    <row r="1537" spans="1:16">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c r="P1537" s="14" t="s">
        <v>2521</v>
      </c>
    </row>
    <row r="1538" spans="1:16">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c r="P1538" s="14" t="s">
        <v>2523</v>
      </c>
    </row>
    <row r="1539" spans="1:16">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c r="P1539" s="14" t="s">
        <v>2521</v>
      </c>
    </row>
    <row r="1540" spans="1:16">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c r="P1540" s="14" t="s">
        <v>2524</v>
      </c>
    </row>
    <row r="1541" spans="1:16">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c r="P1541" s="14" t="s">
        <v>2521</v>
      </c>
    </row>
    <row r="1542" spans="1:16">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c r="P1542" s="14" t="s">
        <v>2524</v>
      </c>
    </row>
    <row r="1543" spans="1:16">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c r="P1543" s="14" t="s">
        <v>2522</v>
      </c>
    </row>
    <row r="1544" spans="1:16">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c r="P1544" s="14" t="s">
        <v>2523</v>
      </c>
    </row>
    <row r="1545" spans="1:16">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c r="P1545" s="14" t="s">
        <v>2522</v>
      </c>
    </row>
    <row r="1546" spans="1:16">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c r="P1546" s="14" t="s">
        <v>2521</v>
      </c>
    </row>
    <row r="1547" spans="1:16">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c r="P1547" s="14" t="s">
        <v>2523</v>
      </c>
    </row>
    <row r="1548" spans="1:16">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c r="P1548" s="14" t="s">
        <v>2521</v>
      </c>
    </row>
    <row r="1549" spans="1:16">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c r="P1549" s="14" t="s">
        <v>2524</v>
      </c>
    </row>
    <row r="1550" spans="1:16">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c r="P1550" s="14" t="s">
        <v>2521</v>
      </c>
    </row>
    <row r="1551" spans="1:16">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c r="P1551" s="14" t="s">
        <v>2524</v>
      </c>
    </row>
    <row r="1552" spans="1:16">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c r="P1552" s="14" t="s">
        <v>2522</v>
      </c>
    </row>
    <row r="1553" spans="1:16">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c r="P1553" s="14" t="s">
        <v>2523</v>
      </c>
    </row>
    <row r="1554" spans="1:16">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c r="P1554" s="14" t="s">
        <v>2522</v>
      </c>
    </row>
    <row r="1555" spans="1:16">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c r="P1555" s="14" t="s">
        <v>2521</v>
      </c>
    </row>
    <row r="1556" spans="1:16">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c r="P1556" s="14" t="s">
        <v>2523</v>
      </c>
    </row>
    <row r="1557" spans="1:16">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c r="P1557" s="14" t="s">
        <v>2521</v>
      </c>
    </row>
    <row r="1558" spans="1:16">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c r="P1558" s="14" t="s">
        <v>2524</v>
      </c>
    </row>
    <row r="1559" spans="1:16">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c r="P1559" s="14" t="s">
        <v>2521</v>
      </c>
    </row>
    <row r="1560" spans="1:16">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c r="P1560" s="14" t="s">
        <v>2524</v>
      </c>
    </row>
    <row r="1561" spans="1:16">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c r="P1561" s="14" t="s">
        <v>2522</v>
      </c>
    </row>
    <row r="1562" spans="1:16">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c r="P1562" s="14" t="s">
        <v>2523</v>
      </c>
    </row>
    <row r="1563" spans="1:16">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c r="P1563" s="14" t="s">
        <v>2522</v>
      </c>
    </row>
    <row r="1564" spans="1:16">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c r="P1564" s="14" t="s">
        <v>2521</v>
      </c>
    </row>
    <row r="1565" spans="1:16">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c r="P1565" s="14" t="s">
        <v>2523</v>
      </c>
    </row>
    <row r="1566" spans="1:16">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c r="P1566" s="14" t="s">
        <v>2521</v>
      </c>
    </row>
    <row r="1567" spans="1:16">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c r="P1567" s="14" t="s">
        <v>2524</v>
      </c>
    </row>
    <row r="1568" spans="1:16">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c r="P1568" s="14" t="s">
        <v>2521</v>
      </c>
    </row>
    <row r="1569" spans="1:16">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c r="P1569" s="14" t="s">
        <v>2524</v>
      </c>
    </row>
    <row r="1570" spans="1:16">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c r="P1570" s="14" t="s">
        <v>2522</v>
      </c>
    </row>
    <row r="1571" spans="1:16">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c r="P1571" s="14" t="s">
        <v>2523</v>
      </c>
    </row>
    <row r="1572" spans="1:16">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c r="P1572" s="14" t="s">
        <v>2522</v>
      </c>
    </row>
    <row r="1573" spans="1:16">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c r="P1573" s="14" t="s">
        <v>2521</v>
      </c>
    </row>
    <row r="1574" spans="1:16">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c r="P1574" s="14" t="s">
        <v>2523</v>
      </c>
    </row>
    <row r="1575" spans="1:16">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c r="P1575" s="14" t="s">
        <v>2521</v>
      </c>
    </row>
    <row r="1576" spans="1:16">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c r="P1576" s="14" t="s">
        <v>2524</v>
      </c>
    </row>
    <row r="1577" spans="1:16">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c r="P1577" s="14" t="s">
        <v>2521</v>
      </c>
    </row>
    <row r="1578" spans="1:16">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c r="P1578" s="14" t="s">
        <v>2524</v>
      </c>
    </row>
    <row r="1579" spans="1:16">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c r="P1579" s="14" t="s">
        <v>2522</v>
      </c>
    </row>
    <row r="1580" spans="1:16">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c r="P1580" s="14" t="s">
        <v>2523</v>
      </c>
    </row>
    <row r="1581" spans="1:16">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c r="P1581" s="14" t="s">
        <v>2522</v>
      </c>
    </row>
    <row r="1582" spans="1:16">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c r="P1582" s="14" t="s">
        <v>2521</v>
      </c>
    </row>
    <row r="1583" spans="1:16">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c r="P1583" s="14" t="s">
        <v>2523</v>
      </c>
    </row>
    <row r="1584" spans="1:16">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c r="P1584" s="14" t="s">
        <v>2521</v>
      </c>
    </row>
    <row r="1585" spans="1:16">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c r="P1585" s="14" t="s">
        <v>2524</v>
      </c>
    </row>
    <row r="1586" spans="1:16">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c r="P1586" s="14" t="s">
        <v>2521</v>
      </c>
    </row>
    <row r="1587" spans="1:16">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c r="P1587" s="14" t="s">
        <v>2524</v>
      </c>
    </row>
    <row r="1588" spans="1:16">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c r="P1588" s="14" t="s">
        <v>2522</v>
      </c>
    </row>
    <row r="1589" spans="1:16">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c r="P1589" s="14" t="s">
        <v>2523</v>
      </c>
    </row>
    <row r="1590" spans="1:16">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c r="P1590" s="14" t="s">
        <v>2522</v>
      </c>
    </row>
    <row r="1591" spans="1:16">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c r="P1591" s="14" t="s">
        <v>2521</v>
      </c>
    </row>
    <row r="1592" spans="1:16">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c r="P1592" s="14" t="s">
        <v>2523</v>
      </c>
    </row>
    <row r="1593" spans="1:16">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c r="P1593" s="14" t="s">
        <v>2521</v>
      </c>
    </row>
    <row r="1594" spans="1:16">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c r="P1594" s="14" t="s">
        <v>2524</v>
      </c>
    </row>
    <row r="1595" spans="1:16">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c r="P1595" s="14" t="s">
        <v>2521</v>
      </c>
    </row>
    <row r="1596" spans="1:16">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c r="P1596" s="14" t="s">
        <v>2524</v>
      </c>
    </row>
    <row r="1597" spans="1:16">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c r="P1597" s="14" t="s">
        <v>2522</v>
      </c>
    </row>
    <row r="1598" spans="1:16">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c r="P1598" s="14" t="s">
        <v>2523</v>
      </c>
    </row>
    <row r="1599" spans="1:16">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c r="P1599" s="14" t="s">
        <v>2522</v>
      </c>
    </row>
    <row r="1600" spans="1:16">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c r="P1600" s="14" t="s">
        <v>2521</v>
      </c>
    </row>
    <row r="1601" spans="1:16">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c r="P1601" s="14" t="s">
        <v>2523</v>
      </c>
    </row>
    <row r="1602" spans="1:16">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c r="P1602" s="14" t="s">
        <v>2521</v>
      </c>
    </row>
    <row r="1603" spans="1:16">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c r="P1603" s="14" t="s">
        <v>2524</v>
      </c>
    </row>
    <row r="1604" spans="1:16">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c r="P1604" s="14" t="s">
        <v>2521</v>
      </c>
    </row>
    <row r="1605" spans="1:16">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c r="P1605" s="14" t="s">
        <v>2524</v>
      </c>
    </row>
    <row r="1606" spans="1:16">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c r="P1606" s="14" t="s">
        <v>2522</v>
      </c>
    </row>
    <row r="1607" spans="1:16">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c r="P1607" s="14" t="s">
        <v>2523</v>
      </c>
    </row>
    <row r="1608" spans="1:16">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c r="P1608" s="14" t="s">
        <v>2522</v>
      </c>
    </row>
    <row r="1609" spans="1:16">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c r="P1609" s="14" t="s">
        <v>2521</v>
      </c>
    </row>
    <row r="1610" spans="1:16">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c r="P1610" s="14" t="s">
        <v>2523</v>
      </c>
    </row>
    <row r="1611" spans="1:16">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c r="P1611" s="14" t="s">
        <v>2521</v>
      </c>
    </row>
    <row r="1612" spans="1:16">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c r="P1612" s="14" t="s">
        <v>2524</v>
      </c>
    </row>
    <row r="1613" spans="1:16">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c r="P1613" s="14" t="s">
        <v>2521</v>
      </c>
    </row>
    <row r="1614" spans="1:16">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c r="P1614" s="14" t="s">
        <v>2524</v>
      </c>
    </row>
    <row r="1615" spans="1:16">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c r="P1615" s="14" t="s">
        <v>2522</v>
      </c>
    </row>
    <row r="1616" spans="1:16">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c r="P1616" s="14" t="s">
        <v>2523</v>
      </c>
    </row>
    <row r="1617" spans="1:16">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c r="P1617" s="14" t="s">
        <v>2522</v>
      </c>
    </row>
    <row r="1618" spans="1:16">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c r="P1618" s="14" t="s">
        <v>2521</v>
      </c>
    </row>
    <row r="1619" spans="1:16">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c r="P1619" s="14" t="s">
        <v>2523</v>
      </c>
    </row>
    <row r="1620" spans="1:16">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c r="P1620" s="14" t="s">
        <v>2521</v>
      </c>
    </row>
    <row r="1621" spans="1:16">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c r="P1621" s="14" t="s">
        <v>2524</v>
      </c>
    </row>
    <row r="1622" spans="1:16">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c r="P1622" s="14" t="s">
        <v>2521</v>
      </c>
    </row>
    <row r="1623" spans="1:16">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c r="P1623" s="14" t="s">
        <v>2524</v>
      </c>
    </row>
    <row r="1624" spans="1:16">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c r="P1624" s="14" t="s">
        <v>2522</v>
      </c>
    </row>
    <row r="1625" spans="1:16">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c r="P1625" s="14" t="s">
        <v>2523</v>
      </c>
    </row>
    <row r="1626" spans="1:16">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c r="P1626" s="14" t="s">
        <v>2522</v>
      </c>
    </row>
    <row r="1627" spans="1:16">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c r="P1627" s="14" t="s">
        <v>2521</v>
      </c>
    </row>
    <row r="1628" spans="1:16">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c r="P1628" s="14" t="s">
        <v>2523</v>
      </c>
    </row>
    <row r="1629" spans="1:16">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c r="P1629" s="14" t="s">
        <v>2521</v>
      </c>
    </row>
    <row r="1630" spans="1:16">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c r="P1630" s="14" t="s">
        <v>2524</v>
      </c>
    </row>
    <row r="1631" spans="1:16">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c r="P1631" s="14" t="s">
        <v>2521</v>
      </c>
    </row>
    <row r="1632" spans="1:16">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c r="P1632" s="14" t="s">
        <v>2524</v>
      </c>
    </row>
    <row r="1633" spans="1:16">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c r="P1633" s="14" t="s">
        <v>2522</v>
      </c>
    </row>
    <row r="1634" spans="1:16">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c r="P1634" s="14" t="s">
        <v>2523</v>
      </c>
    </row>
    <row r="1635" spans="1:16">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c r="P1635" s="14" t="s">
        <v>2522</v>
      </c>
    </row>
    <row r="1636" spans="1:16">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c r="P1636" s="14" t="s">
        <v>2521</v>
      </c>
    </row>
    <row r="1637" spans="1:16">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c r="P1637" s="14" t="s">
        <v>2523</v>
      </c>
    </row>
    <row r="1638" spans="1:16">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c r="P1638" s="14" t="s">
        <v>2521</v>
      </c>
    </row>
    <row r="1639" spans="1:16">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c r="P1639" s="14" t="s">
        <v>2524</v>
      </c>
    </row>
    <row r="1640" spans="1:16">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c r="P1640" s="14" t="s">
        <v>2521</v>
      </c>
    </row>
    <row r="1641" spans="1:16">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c r="P1641" s="14" t="s">
        <v>2524</v>
      </c>
    </row>
    <row r="1642" spans="1:16">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c r="P1642" s="14" t="s">
        <v>2522</v>
      </c>
    </row>
    <row r="1643" spans="1:16">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c r="P1643" s="14" t="s">
        <v>2523</v>
      </c>
    </row>
    <row r="1644" spans="1:16">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c r="P1644" s="14" t="s">
        <v>2522</v>
      </c>
    </row>
    <row r="1645" spans="1:16">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c r="P1645" s="14" t="s">
        <v>2521</v>
      </c>
    </row>
    <row r="1646" spans="1:16">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c r="P1646" s="14" t="s">
        <v>2523</v>
      </c>
    </row>
    <row r="1647" spans="1:16">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c r="P1647" s="14" t="s">
        <v>2521</v>
      </c>
    </row>
    <row r="1648" spans="1:16">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c r="P1648" s="14" t="s">
        <v>2524</v>
      </c>
    </row>
    <row r="1649" spans="1:16">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c r="P1649" s="14" t="s">
        <v>2521</v>
      </c>
    </row>
    <row r="1650" spans="1:16">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c r="P1650" s="14" t="s">
        <v>2524</v>
      </c>
    </row>
    <row r="1651" spans="1:16">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c r="P1651" s="14" t="s">
        <v>2522</v>
      </c>
    </row>
    <row r="1652" spans="1:16">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c r="P1652" s="14" t="s">
        <v>2523</v>
      </c>
    </row>
    <row r="1653" spans="1:16">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c r="P1653" s="14" t="s">
        <v>2522</v>
      </c>
    </row>
    <row r="1654" spans="1:16">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c r="P1654" s="14" t="s">
        <v>2521</v>
      </c>
    </row>
    <row r="1655" spans="1:16">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c r="P1655" s="14" t="s">
        <v>2523</v>
      </c>
    </row>
    <row r="1656" spans="1:16">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c r="P1656" s="14" t="s">
        <v>2521</v>
      </c>
    </row>
    <row r="1657" spans="1:16">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c r="P1657" s="14" t="s">
        <v>2524</v>
      </c>
    </row>
    <row r="1658" spans="1:16">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c r="P1658" s="14" t="s">
        <v>2521</v>
      </c>
    </row>
    <row r="1659" spans="1:16">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c r="P1659" s="14" t="s">
        <v>2524</v>
      </c>
    </row>
    <row r="1660" spans="1:16">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c r="P1660" s="14" t="s">
        <v>2522</v>
      </c>
    </row>
    <row r="1661" spans="1:16">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c r="P1661" s="14" t="s">
        <v>2523</v>
      </c>
    </row>
    <row r="1662" spans="1:16">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c r="P1662" s="14" t="s">
        <v>2522</v>
      </c>
    </row>
    <row r="1663" spans="1:16">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c r="P1663" s="14" t="s">
        <v>2521</v>
      </c>
    </row>
    <row r="1664" spans="1:16">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c r="P1664" s="14" t="s">
        <v>2523</v>
      </c>
    </row>
    <row r="1665" spans="1:16">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c r="P1665" s="14" t="s">
        <v>2521</v>
      </c>
    </row>
    <row r="1666" spans="1:16">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c r="P1666" s="14" t="s">
        <v>2524</v>
      </c>
    </row>
    <row r="1667" spans="1:16">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c r="P1667" s="14" t="s">
        <v>2521</v>
      </c>
    </row>
    <row r="1668" spans="1:16">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c r="P1668" s="14" t="s">
        <v>2524</v>
      </c>
    </row>
    <row r="1669" spans="1:16">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c r="P1669" s="14" t="s">
        <v>2522</v>
      </c>
    </row>
    <row r="1670" spans="1:16">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c r="P1670" s="14" t="s">
        <v>2523</v>
      </c>
    </row>
    <row r="1671" spans="1:16">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c r="P1671" s="14" t="s">
        <v>2522</v>
      </c>
    </row>
    <row r="1672" spans="1:16">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c r="P1672" s="14" t="s">
        <v>2521</v>
      </c>
    </row>
    <row r="1673" spans="1:16">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c r="P1673" s="14" t="s">
        <v>2523</v>
      </c>
    </row>
    <row r="1674" spans="1:16">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c r="P1674" s="14" t="s">
        <v>2521</v>
      </c>
    </row>
    <row r="1675" spans="1:16">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c r="P1675" s="14" t="s">
        <v>2524</v>
      </c>
    </row>
    <row r="1676" spans="1:16">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c r="P1676" s="14" t="s">
        <v>2521</v>
      </c>
    </row>
    <row r="1677" spans="1:16">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c r="P1677" s="14" t="s">
        <v>2524</v>
      </c>
    </row>
    <row r="1678" spans="1:16">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c r="P1678" s="14" t="s">
        <v>2522</v>
      </c>
    </row>
    <row r="1679" spans="1:16">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c r="P1679" s="14" t="s">
        <v>2523</v>
      </c>
    </row>
    <row r="1680" spans="1:16">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c r="P1680" s="14" t="s">
        <v>2522</v>
      </c>
    </row>
    <row r="1681" spans="1:16">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c r="P1681" s="14" t="s">
        <v>2521</v>
      </c>
    </row>
    <row r="1682" spans="1:16">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c r="P1682" s="14" t="s">
        <v>2523</v>
      </c>
    </row>
    <row r="1683" spans="1:16">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c r="P1683" s="14" t="s">
        <v>2521</v>
      </c>
    </row>
    <row r="1684" spans="1:16">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c r="P1684" s="14" t="s">
        <v>2524</v>
      </c>
    </row>
    <row r="1685" spans="1:16">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c r="P1685" s="14" t="s">
        <v>2521</v>
      </c>
    </row>
    <row r="1686" spans="1:16">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c r="P1686" s="14" t="s">
        <v>2524</v>
      </c>
    </row>
    <row r="1687" spans="1:16">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c r="P1687" s="14" t="s">
        <v>2522</v>
      </c>
    </row>
    <row r="1688" spans="1:16">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c r="P1688" s="14" t="s">
        <v>2523</v>
      </c>
    </row>
    <row r="1689" spans="1:16">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c r="P1689" s="14" t="s">
        <v>2522</v>
      </c>
    </row>
    <row r="1690" spans="1:16">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c r="P1690" s="14" t="s">
        <v>2521</v>
      </c>
    </row>
    <row r="1691" spans="1:16">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c r="P1691" s="14" t="s">
        <v>2523</v>
      </c>
    </row>
    <row r="1692" spans="1:16">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c r="P1692" s="14" t="s">
        <v>2521</v>
      </c>
    </row>
    <row r="1693" spans="1:16">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c r="P1693" s="14" t="s">
        <v>2524</v>
      </c>
    </row>
    <row r="1694" spans="1:16">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c r="P1694" s="14" t="s">
        <v>2521</v>
      </c>
    </row>
    <row r="1695" spans="1:16">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c r="P1695" s="14" t="s">
        <v>2524</v>
      </c>
    </row>
    <row r="1696" spans="1:16">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c r="P1696" s="14" t="s">
        <v>2522</v>
      </c>
    </row>
    <row r="1697" spans="1:16">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c r="P1697" s="14" t="s">
        <v>2523</v>
      </c>
    </row>
    <row r="1698" spans="1:16">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c r="P1698" s="14" t="s">
        <v>2522</v>
      </c>
    </row>
    <row r="1699" spans="1:16">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c r="P1699" s="14" t="s">
        <v>2521</v>
      </c>
    </row>
    <row r="1700" spans="1:16">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c r="P1700" s="14" t="s">
        <v>2523</v>
      </c>
    </row>
    <row r="1701" spans="1:16">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c r="P1701" s="14" t="s">
        <v>2521</v>
      </c>
    </row>
    <row r="1702" spans="1:16">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c r="P1702" s="14" t="s">
        <v>2524</v>
      </c>
    </row>
    <row r="1703" spans="1:16">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c r="P1703" s="14" t="s">
        <v>2521</v>
      </c>
    </row>
    <row r="1704" spans="1:16">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c r="P1704" s="14" t="s">
        <v>2524</v>
      </c>
    </row>
    <row r="1705" spans="1:16">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c r="P1705" s="14" t="s">
        <v>2522</v>
      </c>
    </row>
    <row r="1706" spans="1:16">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c r="P1706" s="14" t="s">
        <v>2523</v>
      </c>
    </row>
    <row r="1707" spans="1:16">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c r="P1707" s="14" t="s">
        <v>2522</v>
      </c>
    </row>
    <row r="1708" spans="1:16">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c r="P1708" s="14" t="s">
        <v>2521</v>
      </c>
    </row>
    <row r="1709" spans="1:16">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c r="P1709" s="14" t="s">
        <v>2523</v>
      </c>
    </row>
    <row r="1710" spans="1:16">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c r="P1710" s="14" t="s">
        <v>2521</v>
      </c>
    </row>
    <row r="1711" spans="1:16">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c r="P1711" s="14" t="s">
        <v>2524</v>
      </c>
    </row>
    <row r="1712" spans="1:16">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c r="P1712" s="14" t="s">
        <v>2521</v>
      </c>
    </row>
    <row r="1713" spans="1:16">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c r="P1713" s="14" t="s">
        <v>2524</v>
      </c>
    </row>
    <row r="1714" spans="1:16">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c r="P1714" s="14" t="s">
        <v>2522</v>
      </c>
    </row>
    <row r="1715" spans="1:16">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c r="P1715" s="14" t="s">
        <v>2523</v>
      </c>
    </row>
    <row r="1716" spans="1:16">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c r="P1716" s="14" t="s">
        <v>2522</v>
      </c>
    </row>
    <row r="1717" spans="1:16">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c r="P1717" s="14" t="s">
        <v>2521</v>
      </c>
    </row>
    <row r="1718" spans="1:16">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c r="P1718" s="14" t="s">
        <v>2523</v>
      </c>
    </row>
    <row r="1719" spans="1:16">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c r="P1719" s="14" t="s">
        <v>2521</v>
      </c>
    </row>
    <row r="1720" spans="1:16">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c r="P1720" s="14" t="s">
        <v>2524</v>
      </c>
    </row>
    <row r="1721" spans="1:16">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c r="P1721" s="14" t="s">
        <v>2521</v>
      </c>
    </row>
    <row r="1722" spans="1:16">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c r="P1722" s="14" t="s">
        <v>2524</v>
      </c>
    </row>
    <row r="1723" spans="1:16">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c r="P1723" s="14" t="s">
        <v>2522</v>
      </c>
    </row>
    <row r="1724" spans="1:16">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c r="P1724" s="14" t="s">
        <v>2523</v>
      </c>
    </row>
    <row r="1725" spans="1:16">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c r="P1725" s="14" t="s">
        <v>2522</v>
      </c>
    </row>
    <row r="1726" spans="1:16">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c r="P1726" s="14" t="s">
        <v>2521</v>
      </c>
    </row>
    <row r="1727" spans="1:16">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c r="P1727" s="14" t="s">
        <v>2523</v>
      </c>
    </row>
    <row r="1728" spans="1:16">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c r="P1728" s="14" t="s">
        <v>2521</v>
      </c>
    </row>
    <row r="1729" spans="1:16">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c r="P1729" s="14" t="s">
        <v>2524</v>
      </c>
    </row>
    <row r="1730" spans="1:16">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c r="P1730" s="14" t="s">
        <v>2521</v>
      </c>
    </row>
    <row r="1731" spans="1:16">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c r="P1731" s="14" t="s">
        <v>2524</v>
      </c>
    </row>
    <row r="1732" spans="1:16">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c r="P1732" s="14" t="s">
        <v>2522</v>
      </c>
    </row>
    <row r="1733" spans="1:16">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c r="P1733" s="14" t="s">
        <v>2523</v>
      </c>
    </row>
    <row r="1734" spans="1:16">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c r="P1734" s="14" t="s">
        <v>2522</v>
      </c>
    </row>
    <row r="1735" spans="1:16">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c r="P1735" s="14" t="s">
        <v>2521</v>
      </c>
    </row>
    <row r="1736" spans="1:16">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c r="P1736" s="14" t="s">
        <v>2523</v>
      </c>
    </row>
    <row r="1737" spans="1:16">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c r="P1737" s="14" t="s">
        <v>2521</v>
      </c>
    </row>
    <row r="1738" spans="1:16">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c r="P1738" s="14" t="s">
        <v>2524</v>
      </c>
    </row>
    <row r="1739" spans="1:16">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c r="P1739" s="14" t="s">
        <v>2521</v>
      </c>
    </row>
    <row r="1740" spans="1:16">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c r="P1740" s="14" t="s">
        <v>2524</v>
      </c>
    </row>
    <row r="1741" spans="1:16">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c r="P1741" s="14" t="s">
        <v>2522</v>
      </c>
    </row>
    <row r="1742" spans="1:16">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c r="P1742" s="14" t="s">
        <v>2523</v>
      </c>
    </row>
    <row r="1743" spans="1:16">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c r="P1743" s="14" t="s">
        <v>2522</v>
      </c>
    </row>
    <row r="1744" spans="1:16">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c r="P1744" s="14" t="s">
        <v>2521</v>
      </c>
    </row>
    <row r="1745" spans="1:16">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c r="P1745" s="14" t="s">
        <v>2523</v>
      </c>
    </row>
    <row r="1746" spans="1:16">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c r="P1746" s="14" t="s">
        <v>2521</v>
      </c>
    </row>
    <row r="1747" spans="1:16">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c r="P1747" s="14" t="s">
        <v>2524</v>
      </c>
    </row>
    <row r="1748" spans="1:16">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c r="P1748" s="14" t="s">
        <v>2521</v>
      </c>
    </row>
    <row r="1749" spans="1:16">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c r="P1749" s="14" t="s">
        <v>2524</v>
      </c>
    </row>
    <row r="1750" spans="1:16">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c r="P1750" s="14" t="s">
        <v>2522</v>
      </c>
    </row>
    <row r="1751" spans="1:16">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c r="P1751" s="14" t="s">
        <v>2523</v>
      </c>
    </row>
    <row r="1752" spans="1:16">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c r="P1752" s="14" t="s">
        <v>2522</v>
      </c>
    </row>
    <row r="1753" spans="1:16">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c r="P1753" s="14" t="s">
        <v>2521</v>
      </c>
    </row>
    <row r="1754" spans="1:16">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c r="P1754" s="14" t="s">
        <v>2523</v>
      </c>
    </row>
    <row r="1755" spans="1:16">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c r="P1755" s="14" t="s">
        <v>2521</v>
      </c>
    </row>
    <row r="1756" spans="1:16">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c r="P1756" s="14" t="s">
        <v>2524</v>
      </c>
    </row>
    <row r="1757" spans="1:16">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c r="P1757" s="14" t="s">
        <v>2521</v>
      </c>
    </row>
    <row r="1758" spans="1:16">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c r="P1758" s="14" t="s">
        <v>2524</v>
      </c>
    </row>
    <row r="1759" spans="1:16">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c r="P1759" s="14" t="s">
        <v>2522</v>
      </c>
    </row>
    <row r="1760" spans="1:16">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c r="P1760" s="14" t="s">
        <v>2523</v>
      </c>
    </row>
    <row r="1761" spans="1:16">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c r="P1761" s="14" t="s">
        <v>2522</v>
      </c>
    </row>
    <row r="1762" spans="1:16">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c r="P1762" s="14" t="s">
        <v>2521</v>
      </c>
    </row>
    <row r="1763" spans="1:16">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c r="P1763" s="14" t="s">
        <v>2523</v>
      </c>
    </row>
    <row r="1764" spans="1:16">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c r="P1764" s="14" t="s">
        <v>2521</v>
      </c>
    </row>
    <row r="1765" spans="1:16">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c r="P1765" s="14" t="s">
        <v>2524</v>
      </c>
    </row>
    <row r="1766" spans="1:16">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c r="P1766" s="14" t="s">
        <v>2521</v>
      </c>
    </row>
    <row r="1767" spans="1:16">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c r="P1767" s="14" t="s">
        <v>2524</v>
      </c>
    </row>
    <row r="1768" spans="1:16">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c r="P1768" s="14" t="s">
        <v>2522</v>
      </c>
    </row>
    <row r="1769" spans="1:16">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c r="P1769" s="14" t="s">
        <v>2523</v>
      </c>
    </row>
    <row r="1770" spans="1:16">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c r="P1770" s="14" t="s">
        <v>2522</v>
      </c>
    </row>
    <row r="1771" spans="1:16">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c r="P1771" s="14" t="s">
        <v>2521</v>
      </c>
    </row>
    <row r="1772" spans="1:16">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c r="P1772" s="14" t="s">
        <v>2523</v>
      </c>
    </row>
    <row r="1773" spans="1:16">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c r="P1773" s="14" t="s">
        <v>2521</v>
      </c>
    </row>
    <row r="1774" spans="1:16">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c r="P1774" s="14" t="s">
        <v>2524</v>
      </c>
    </row>
    <row r="1775" spans="1:16">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c r="P1775" s="14" t="s">
        <v>2521</v>
      </c>
    </row>
    <row r="1776" spans="1:16">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c r="P1776" s="14" t="s">
        <v>2524</v>
      </c>
    </row>
    <row r="1777" spans="1:16">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c r="P1777" s="14" t="s">
        <v>2522</v>
      </c>
    </row>
    <row r="1778" spans="1:16">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c r="P1778" s="14" t="s">
        <v>2523</v>
      </c>
    </row>
    <row r="1779" spans="1:16">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c r="P1779" s="14" t="s">
        <v>2522</v>
      </c>
    </row>
    <row r="1780" spans="1:16">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c r="P1780" s="14" t="s">
        <v>2521</v>
      </c>
    </row>
    <row r="1781" spans="1:16">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c r="P1781" s="14" t="s">
        <v>2523</v>
      </c>
    </row>
    <row r="1782" spans="1:16">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c r="P1782" s="14" t="s">
        <v>2521</v>
      </c>
    </row>
    <row r="1783" spans="1:16">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c r="P1783" s="14" t="s">
        <v>2524</v>
      </c>
    </row>
    <row r="1784" spans="1:16">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c r="P1784" s="14" t="s">
        <v>2521</v>
      </c>
    </row>
    <row r="1785" spans="1:16">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c r="P1785" s="14" t="s">
        <v>2524</v>
      </c>
    </row>
    <row r="1786" spans="1:16">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c r="P1786" s="14" t="s">
        <v>2522</v>
      </c>
    </row>
    <row r="1787" spans="1:16">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c r="P1787" s="14" t="s">
        <v>2523</v>
      </c>
    </row>
    <row r="1788" spans="1:16">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c r="P1788" s="14" t="s">
        <v>2522</v>
      </c>
    </row>
    <row r="1789" spans="1:16">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c r="P1789" s="14" t="s">
        <v>2521</v>
      </c>
    </row>
    <row r="1790" spans="1:16">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c r="P1790" s="14" t="s">
        <v>2523</v>
      </c>
    </row>
    <row r="1791" spans="1:16">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c r="P1791" s="14" t="s">
        <v>2521</v>
      </c>
    </row>
    <row r="1792" spans="1:16">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c r="P1792" s="14" t="s">
        <v>2524</v>
      </c>
    </row>
    <row r="1793" spans="1:16">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c r="P1793" s="14" t="s">
        <v>2521</v>
      </c>
    </row>
    <row r="1794" spans="1:16">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c r="P1794" s="14" t="s">
        <v>2524</v>
      </c>
    </row>
    <row r="1795" spans="1:16">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c r="P1795" s="14" t="s">
        <v>2522</v>
      </c>
    </row>
    <row r="1796" spans="1:16">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c r="P1796" s="14" t="s">
        <v>2523</v>
      </c>
    </row>
    <row r="1797" spans="1:16">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c r="P1797" s="14" t="s">
        <v>2522</v>
      </c>
    </row>
    <row r="1798" spans="1:16">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c r="P1798" s="14" t="s">
        <v>2521</v>
      </c>
    </row>
    <row r="1799" spans="1:16">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c r="P1799" s="14" t="s">
        <v>2523</v>
      </c>
    </row>
    <row r="1800" spans="1:16">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c r="P1800" s="14" t="s">
        <v>2521</v>
      </c>
    </row>
    <row r="1801" spans="1:16">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c r="P1801" s="14" t="s">
        <v>2524</v>
      </c>
    </row>
    <row r="1802" spans="1:16">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c r="P1802" s="14" t="s">
        <v>2521</v>
      </c>
    </row>
    <row r="1803" spans="1:16">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c r="P1803" s="14" t="s">
        <v>2524</v>
      </c>
    </row>
    <row r="1804" spans="1:16">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c r="P1804" s="14" t="s">
        <v>2522</v>
      </c>
    </row>
    <row r="1805" spans="1:16">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c r="P1805" s="14" t="s">
        <v>2523</v>
      </c>
    </row>
    <row r="1806" spans="1:16">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c r="P1806" s="14" t="s">
        <v>2522</v>
      </c>
    </row>
    <row r="1807" spans="1:16">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c r="P1807" s="14" t="s">
        <v>2521</v>
      </c>
    </row>
    <row r="1808" spans="1:16">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c r="P1808" s="14" t="s">
        <v>2523</v>
      </c>
    </row>
    <row r="1809" spans="1:16">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c r="P1809" s="14" t="s">
        <v>2521</v>
      </c>
    </row>
    <row r="1810" spans="1:16">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c r="P1810" s="14" t="s">
        <v>2524</v>
      </c>
    </row>
    <row r="1811" spans="1:16">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c r="P1811" s="14" t="s">
        <v>2521</v>
      </c>
    </row>
    <row r="1812" spans="1:16">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c r="P1812" s="14" t="s">
        <v>2524</v>
      </c>
    </row>
    <row r="1813" spans="1:16">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c r="P1813" s="14" t="s">
        <v>2522</v>
      </c>
    </row>
    <row r="1814" spans="1:16">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c r="P1814" s="14" t="s">
        <v>2523</v>
      </c>
    </row>
    <row r="1815" spans="1:16">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c r="P1815" s="14" t="s">
        <v>2522</v>
      </c>
    </row>
    <row r="1816" spans="1:16">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c r="P1816" s="14" t="s">
        <v>2521</v>
      </c>
    </row>
    <row r="1817" spans="1:16">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c r="P1817" s="14" t="s">
        <v>2523</v>
      </c>
    </row>
    <row r="1818" spans="1:16">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c r="P1818" s="14" t="s">
        <v>2521</v>
      </c>
    </row>
    <row r="1819" spans="1:16">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c r="P1819" s="14" t="s">
        <v>2524</v>
      </c>
    </row>
    <row r="1820" spans="1:16">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c r="P1820" s="14" t="s">
        <v>2521</v>
      </c>
    </row>
    <row r="1821" spans="1:16">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c r="P1821" s="14" t="s">
        <v>2524</v>
      </c>
    </row>
    <row r="1822" spans="1:16">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c r="P1822" s="14" t="s">
        <v>2522</v>
      </c>
    </row>
    <row r="1823" spans="1:16">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c r="P1823" s="14" t="s">
        <v>2523</v>
      </c>
    </row>
    <row r="1824" spans="1:16">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c r="P1824" s="14" t="s">
        <v>2522</v>
      </c>
    </row>
    <row r="1825" spans="1:16">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c r="P1825" s="14" t="s">
        <v>2521</v>
      </c>
    </row>
    <row r="1826" spans="1:16">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c r="P1826" s="14" t="s">
        <v>2523</v>
      </c>
    </row>
    <row r="1827" spans="1:16">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c r="P1827" s="14" t="s">
        <v>2521</v>
      </c>
    </row>
    <row r="1828" spans="1:16">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c r="P1828" s="14" t="s">
        <v>2524</v>
      </c>
    </row>
    <row r="1829" spans="1:16">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c r="P1829" s="14" t="s">
        <v>2521</v>
      </c>
    </row>
    <row r="1830" spans="1:16">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c r="P1830" s="14" t="s">
        <v>2524</v>
      </c>
    </row>
    <row r="1831" spans="1:16">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c r="P1831" s="14" t="s">
        <v>2522</v>
      </c>
    </row>
    <row r="1832" spans="1:16">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c r="P1832" s="14" t="s">
        <v>2523</v>
      </c>
    </row>
    <row r="1833" spans="1:16">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c r="P1833" s="14" t="s">
        <v>2522</v>
      </c>
    </row>
    <row r="1834" spans="1:16">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c r="P1834" s="14" t="s">
        <v>2521</v>
      </c>
    </row>
    <row r="1835" spans="1:16">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c r="P1835" s="14" t="s">
        <v>2523</v>
      </c>
    </row>
    <row r="1836" spans="1:16">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c r="P1836" s="14" t="s">
        <v>2521</v>
      </c>
    </row>
    <row r="1837" spans="1:16">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c r="P1837" s="14" t="s">
        <v>2524</v>
      </c>
    </row>
    <row r="1838" spans="1:16">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c r="P1838" s="14" t="s">
        <v>2521</v>
      </c>
    </row>
    <row r="1839" spans="1:16">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c r="P1839" s="14" t="s">
        <v>2524</v>
      </c>
    </row>
    <row r="1840" spans="1:16">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c r="P1840" s="14" t="s">
        <v>2522</v>
      </c>
    </row>
    <row r="1841" spans="1:16">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c r="P1841" s="14" t="s">
        <v>2523</v>
      </c>
    </row>
    <row r="1842" spans="1:16">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c r="P1842" s="14" t="s">
        <v>2522</v>
      </c>
    </row>
    <row r="1843" spans="1:16">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c r="P1843" s="14" t="s">
        <v>2521</v>
      </c>
    </row>
    <row r="1844" spans="1:16">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c r="P1844" s="14" t="s">
        <v>2523</v>
      </c>
    </row>
    <row r="1845" spans="1:16">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c r="P1845" s="14" t="s">
        <v>2521</v>
      </c>
    </row>
    <row r="1846" spans="1:16">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c r="P1846" s="14" t="s">
        <v>2524</v>
      </c>
    </row>
    <row r="1847" spans="1:16">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c r="P1847" s="14" t="s">
        <v>2521</v>
      </c>
    </row>
    <row r="1848" spans="1:16">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c r="P1848" s="14" t="s">
        <v>2524</v>
      </c>
    </row>
    <row r="1849" spans="1:16">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c r="P1849" s="14" t="s">
        <v>2522</v>
      </c>
    </row>
    <row r="1850" spans="1:16">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c r="P1850" s="14" t="s">
        <v>2523</v>
      </c>
    </row>
    <row r="1851" spans="1:16">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c r="P1851" s="14" t="s">
        <v>2522</v>
      </c>
    </row>
    <row r="1852" spans="1:16">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c r="P1852" s="14" t="s">
        <v>2521</v>
      </c>
    </row>
    <row r="1853" spans="1:16">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c r="P1853" s="14" t="s">
        <v>2523</v>
      </c>
    </row>
    <row r="1854" spans="1:16">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c r="P1854" s="14" t="s">
        <v>2521</v>
      </c>
    </row>
    <row r="1855" spans="1:16">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c r="P1855" s="14" t="s">
        <v>2524</v>
      </c>
    </row>
    <row r="1856" spans="1:16">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c r="P1856" s="14" t="s">
        <v>2521</v>
      </c>
    </row>
    <row r="1857" spans="1:16">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c r="P1857" s="14" t="s">
        <v>2524</v>
      </c>
    </row>
    <row r="1858" spans="1:16">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c r="P1858" s="14" t="s">
        <v>2522</v>
      </c>
    </row>
    <row r="1859" spans="1:16">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c r="P1859" s="14" t="s">
        <v>2523</v>
      </c>
    </row>
    <row r="1860" spans="1:16">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c r="P1860" s="14" t="s">
        <v>2522</v>
      </c>
    </row>
    <row r="1861" spans="1:16">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c r="P1861" s="14" t="s">
        <v>2521</v>
      </c>
    </row>
    <row r="1862" spans="1:16">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c r="P1862" s="14" t="s">
        <v>2523</v>
      </c>
    </row>
    <row r="1863" spans="1:16">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c r="P1863" s="14" t="s">
        <v>2521</v>
      </c>
    </row>
    <row r="1864" spans="1:16">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c r="P1864" s="14" t="s">
        <v>2524</v>
      </c>
    </row>
    <row r="1865" spans="1:16">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c r="P1865" s="14" t="s">
        <v>2521</v>
      </c>
    </row>
    <row r="1866" spans="1:16">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c r="P1866" s="14" t="s">
        <v>2524</v>
      </c>
    </row>
    <row r="1867" spans="1:16">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c r="P1867" s="14" t="s">
        <v>2522</v>
      </c>
    </row>
    <row r="1868" spans="1:16">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c r="P1868" s="14" t="s">
        <v>2523</v>
      </c>
    </row>
    <row r="1869" spans="1:16">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c r="P1869" s="14" t="s">
        <v>2522</v>
      </c>
    </row>
    <row r="1870" spans="1:16">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c r="P1870" s="14" t="s">
        <v>2521</v>
      </c>
    </row>
    <row r="1871" spans="1:16">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c r="P1871" s="14" t="s">
        <v>2523</v>
      </c>
    </row>
    <row r="1872" spans="1:16">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c r="P1872" s="14" t="s">
        <v>2521</v>
      </c>
    </row>
    <row r="1873" spans="1:16">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c r="P1873" s="14" t="s">
        <v>2524</v>
      </c>
    </row>
    <row r="1874" spans="1:16">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c r="P1874" s="14" t="s">
        <v>2521</v>
      </c>
    </row>
    <row r="1875" spans="1:16">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c r="P1875" s="14" t="s">
        <v>2524</v>
      </c>
    </row>
    <row r="1876" spans="1:16">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c r="P1876" s="14" t="s">
        <v>2522</v>
      </c>
    </row>
    <row r="1877" spans="1:16">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c r="P1877" s="14" t="s">
        <v>2523</v>
      </c>
    </row>
    <row r="1878" spans="1:16">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c r="P1878" s="14" t="s">
        <v>2522</v>
      </c>
    </row>
    <row r="1879" spans="1:16">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c r="P1879" s="14" t="s">
        <v>2521</v>
      </c>
    </row>
    <row r="1880" spans="1:16">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c r="P1880" s="14" t="s">
        <v>2523</v>
      </c>
    </row>
    <row r="1881" spans="1:16">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c r="P1881" s="14" t="s">
        <v>2521</v>
      </c>
    </row>
    <row r="1882" spans="1:16">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c r="P1882" s="14" t="s">
        <v>2524</v>
      </c>
    </row>
    <row r="1883" spans="1:16">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c r="P1883" s="14" t="s">
        <v>2521</v>
      </c>
    </row>
    <row r="1884" spans="1:16">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c r="P1884" s="14" t="s">
        <v>2524</v>
      </c>
    </row>
    <row r="1885" spans="1:16">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c r="P1885" s="14" t="s">
        <v>2522</v>
      </c>
    </row>
    <row r="1886" spans="1:16">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c r="P1886" s="14" t="s">
        <v>2523</v>
      </c>
    </row>
    <row r="1887" spans="1:16">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c r="P1887" s="14" t="s">
        <v>2522</v>
      </c>
    </row>
    <row r="1888" spans="1:16">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c r="P1888" s="14" t="s">
        <v>2521</v>
      </c>
    </row>
    <row r="1889" spans="1:16">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c r="P1889" s="14" t="s">
        <v>2523</v>
      </c>
    </row>
    <row r="1890" spans="1:16">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c r="P1890" s="14" t="s">
        <v>2521</v>
      </c>
    </row>
    <row r="1891" spans="1:16">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c r="P1891" s="14" t="s">
        <v>2524</v>
      </c>
    </row>
    <row r="1892" spans="1:16">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c r="P1892" s="14" t="s">
        <v>2521</v>
      </c>
    </row>
    <row r="1893" spans="1:16">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c r="P1893" s="14" t="s">
        <v>2524</v>
      </c>
    </row>
    <row r="1894" spans="1:16">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c r="P1894" s="14" t="s">
        <v>2522</v>
      </c>
    </row>
    <row r="1895" spans="1:16">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c r="P1895" s="14" t="s">
        <v>2523</v>
      </c>
    </row>
    <row r="1896" spans="1:16">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c r="P1896" s="14" t="s">
        <v>2522</v>
      </c>
    </row>
    <row r="1897" spans="1:16">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c r="P1897" s="14" t="s">
        <v>2521</v>
      </c>
    </row>
    <row r="1898" spans="1:16">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c r="P1898" s="14" t="s">
        <v>2523</v>
      </c>
    </row>
    <row r="1899" spans="1:16">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c r="P1899" s="14" t="s">
        <v>2521</v>
      </c>
    </row>
    <row r="1900" spans="1:16">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c r="P1900" s="14" t="s">
        <v>2524</v>
      </c>
    </row>
    <row r="1901" spans="1:16">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c r="P1901" s="14" t="s">
        <v>2521</v>
      </c>
    </row>
    <row r="1902" spans="1:16">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c r="P1902" s="14" t="s">
        <v>2524</v>
      </c>
    </row>
    <row r="1903" spans="1:16">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c r="P1903" s="14" t="s">
        <v>2522</v>
      </c>
    </row>
    <row r="1904" spans="1:16">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c r="P1904" s="14" t="s">
        <v>2523</v>
      </c>
    </row>
    <row r="1905" spans="1:16">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c r="P1905" s="14" t="s">
        <v>2522</v>
      </c>
    </row>
    <row r="1906" spans="1:16">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c r="P1906" s="14" t="s">
        <v>2521</v>
      </c>
    </row>
    <row r="1907" spans="1:16">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c r="P1907" s="14" t="s">
        <v>2523</v>
      </c>
    </row>
    <row r="1908" spans="1:16">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c r="P1908" s="14" t="s">
        <v>2521</v>
      </c>
    </row>
    <row r="1909" spans="1:16">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c r="P1909" s="14" t="s">
        <v>2524</v>
      </c>
    </row>
    <row r="1910" spans="1:16">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c r="P1910" s="14" t="s">
        <v>2521</v>
      </c>
    </row>
    <row r="1911" spans="1:16">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c r="P1911" s="14" t="s">
        <v>2524</v>
      </c>
    </row>
    <row r="1912" spans="1:16">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c r="P1912" s="14" t="s">
        <v>2522</v>
      </c>
    </row>
    <row r="1913" spans="1:16">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c r="P1913" s="14" t="s">
        <v>2523</v>
      </c>
    </row>
    <row r="1914" spans="1:16">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c r="P1914" s="14" t="s">
        <v>2522</v>
      </c>
    </row>
    <row r="1915" spans="1:16">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c r="P1915" s="14" t="s">
        <v>2521</v>
      </c>
    </row>
    <row r="1916" spans="1:16">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c r="P1916" s="14" t="s">
        <v>2523</v>
      </c>
    </row>
    <row r="1917" spans="1:16">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c r="P1917" s="14" t="s">
        <v>2521</v>
      </c>
    </row>
    <row r="1918" spans="1:16">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c r="P1918" s="14" t="s">
        <v>2524</v>
      </c>
    </row>
    <row r="1919" spans="1:16">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c r="P1919" s="14" t="s">
        <v>2521</v>
      </c>
    </row>
    <row r="1920" spans="1:16">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c r="P1920" s="14" t="s">
        <v>2524</v>
      </c>
    </row>
    <row r="1921" spans="1:16">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c r="P1921" s="14" t="s">
        <v>2522</v>
      </c>
    </row>
    <row r="1922" spans="1:16">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c r="P1922" s="14" t="s">
        <v>2523</v>
      </c>
    </row>
    <row r="1923" spans="1:16">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c r="P1923" s="14" t="s">
        <v>2522</v>
      </c>
    </row>
    <row r="1924" spans="1:16">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c r="P1924" s="14" t="s">
        <v>2521</v>
      </c>
    </row>
    <row r="1925" spans="1:16">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c r="P1925" s="14" t="s">
        <v>2523</v>
      </c>
    </row>
    <row r="1926" spans="1:16">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c r="P1926" s="14" t="s">
        <v>2521</v>
      </c>
    </row>
    <row r="1927" spans="1:16">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c r="P1927" s="14" t="s">
        <v>2524</v>
      </c>
    </row>
    <row r="1928" spans="1:16">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c r="P1928" s="14" t="s">
        <v>2521</v>
      </c>
    </row>
    <row r="1929" spans="1:16">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c r="P1929" s="14" t="s">
        <v>2524</v>
      </c>
    </row>
    <row r="1930" spans="1:16">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c r="P1930" s="14" t="s">
        <v>2522</v>
      </c>
    </row>
    <row r="1931" spans="1:16">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c r="P1931" s="14" t="s">
        <v>2523</v>
      </c>
    </row>
    <row r="1932" spans="1:16">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c r="P1932" s="14" t="s">
        <v>2522</v>
      </c>
    </row>
    <row r="1933" spans="1:16">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c r="P1933" s="14" t="s">
        <v>2521</v>
      </c>
    </row>
    <row r="1934" spans="1:16">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c r="P1934" s="14" t="s">
        <v>2523</v>
      </c>
    </row>
    <row r="1935" spans="1:16">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c r="P1935" s="14" t="s">
        <v>2521</v>
      </c>
    </row>
    <row r="1936" spans="1:16">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c r="P1936" s="14" t="s">
        <v>2524</v>
      </c>
    </row>
    <row r="1937" spans="1:16">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c r="P1937" s="14" t="s">
        <v>2521</v>
      </c>
    </row>
    <row r="1938" spans="1:16">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c r="P1938" s="14" t="s">
        <v>2524</v>
      </c>
    </row>
    <row r="1939" spans="1:16">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c r="P1939" s="14" t="s">
        <v>2522</v>
      </c>
    </row>
    <row r="1940" spans="1:16">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c r="P1940" s="14" t="s">
        <v>2523</v>
      </c>
    </row>
    <row r="1941" spans="1:16">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c r="P1941" s="14" t="s">
        <v>2522</v>
      </c>
    </row>
    <row r="1942" spans="1:16">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c r="P1942" s="14" t="s">
        <v>2521</v>
      </c>
    </row>
    <row r="1943" spans="1:16">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c r="P1943" s="14" t="s">
        <v>2523</v>
      </c>
    </row>
    <row r="1944" spans="1:16">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c r="P1944" s="14" t="s">
        <v>2521</v>
      </c>
    </row>
    <row r="1945" spans="1:16">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c r="P1945" s="14" t="s">
        <v>2524</v>
      </c>
    </row>
    <row r="1946" spans="1:16">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c r="P1946" s="14" t="s">
        <v>2521</v>
      </c>
    </row>
    <row r="1947" spans="1:16">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c r="P1947" s="14" t="s">
        <v>2524</v>
      </c>
    </row>
    <row r="1948" spans="1:16">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c r="P1948" s="14" t="s">
        <v>2522</v>
      </c>
    </row>
    <row r="1949" spans="1:16">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c r="P1949" s="14" t="s">
        <v>2523</v>
      </c>
    </row>
    <row r="1950" spans="1:16">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c r="P1950" s="14" t="s">
        <v>2522</v>
      </c>
    </row>
    <row r="1951" spans="1:16">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c r="P1951" s="14" t="s">
        <v>2521</v>
      </c>
    </row>
    <row r="1952" spans="1:16">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c r="P1952" s="14" t="s">
        <v>2523</v>
      </c>
    </row>
    <row r="1953" spans="1:16">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c r="P1953" s="14" t="s">
        <v>2521</v>
      </c>
    </row>
    <row r="1954" spans="1:16">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c r="P1954" s="14" t="s">
        <v>2524</v>
      </c>
    </row>
    <row r="1955" spans="1:16">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c r="P1955" s="14" t="s">
        <v>2521</v>
      </c>
    </row>
    <row r="1956" spans="1:16">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c r="P1956" s="14" t="s">
        <v>2524</v>
      </c>
    </row>
    <row r="1957" spans="1:16">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c r="P1957" s="14" t="s">
        <v>2522</v>
      </c>
    </row>
    <row r="1958" spans="1:16">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c r="P1958" s="14" t="s">
        <v>2523</v>
      </c>
    </row>
    <row r="1959" spans="1:16">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c r="P1959" s="14" t="s">
        <v>2522</v>
      </c>
    </row>
    <row r="1960" spans="1:16">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c r="P1960" s="14" t="s">
        <v>2521</v>
      </c>
    </row>
    <row r="1961" spans="1:16">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c r="P1961" s="14" t="s">
        <v>2523</v>
      </c>
    </row>
    <row r="1962" spans="1:16">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c r="P1962" s="14" t="s">
        <v>2521</v>
      </c>
    </row>
    <row r="1963" spans="1:16">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c r="P1963" s="14" t="s">
        <v>2524</v>
      </c>
    </row>
    <row r="1964" spans="1:16">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c r="P1964" s="14" t="s">
        <v>2521</v>
      </c>
    </row>
    <row r="1965" spans="1:16">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c r="P1965" s="14" t="s">
        <v>2524</v>
      </c>
    </row>
    <row r="1966" spans="1:16">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c r="P1966" s="14" t="s">
        <v>2522</v>
      </c>
    </row>
    <row r="1967" spans="1:16">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c r="P1967" s="14" t="s">
        <v>2523</v>
      </c>
    </row>
    <row r="1968" spans="1:16">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c r="P1968" s="14" t="s">
        <v>2522</v>
      </c>
    </row>
    <row r="1969" spans="1:16">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c r="P1969" s="14" t="s">
        <v>2521</v>
      </c>
    </row>
    <row r="1970" spans="1:16">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c r="P1970" s="14" t="s">
        <v>2523</v>
      </c>
    </row>
    <row r="1971" spans="1:16">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c r="P1971" s="14" t="s">
        <v>2521</v>
      </c>
    </row>
    <row r="1972" spans="1:16">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c r="P1972" s="14" t="s">
        <v>2524</v>
      </c>
    </row>
    <row r="1973" spans="1:16">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c r="P1973" s="14" t="s">
        <v>2521</v>
      </c>
    </row>
    <row r="1974" spans="1:16">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c r="P1974" s="14" t="s">
        <v>2524</v>
      </c>
    </row>
    <row r="1975" spans="1:16">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c r="P1975" s="14" t="s">
        <v>2522</v>
      </c>
    </row>
    <row r="1976" spans="1:16">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c r="P1976" s="14" t="s">
        <v>2523</v>
      </c>
    </row>
    <row r="1977" spans="1:16">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c r="P1977" s="14" t="s">
        <v>2522</v>
      </c>
    </row>
    <row r="1978" spans="1:16">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c r="P1978" s="14" t="s">
        <v>2521</v>
      </c>
    </row>
    <row r="1979" spans="1:16">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c r="P1979" s="14" t="s">
        <v>2523</v>
      </c>
    </row>
    <row r="1980" spans="1:16">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c r="P1980" s="14" t="s">
        <v>2521</v>
      </c>
    </row>
    <row r="1981" spans="1:16">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c r="P1981" s="14" t="s">
        <v>2524</v>
      </c>
    </row>
    <row r="1982" spans="1:16">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c r="P1982" s="14" t="s">
        <v>2521</v>
      </c>
    </row>
    <row r="1983" spans="1:16">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c r="P1983" s="14" t="s">
        <v>2524</v>
      </c>
    </row>
    <row r="1984" spans="1:16">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c r="P1984" s="14" t="s">
        <v>2522</v>
      </c>
    </row>
    <row r="1985" spans="1:16">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c r="P1985" s="14" t="s">
        <v>2523</v>
      </c>
    </row>
    <row r="1986" spans="1:16">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c r="P1986" s="14" t="s">
        <v>2522</v>
      </c>
    </row>
    <row r="1987" spans="1:16">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c r="P1987" s="14" t="s">
        <v>2521</v>
      </c>
    </row>
    <row r="1988" spans="1:16">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c r="P1988" s="14" t="s">
        <v>2523</v>
      </c>
    </row>
    <row r="1989" spans="1:16">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c r="P1989" s="14" t="s">
        <v>2521</v>
      </c>
    </row>
    <row r="1990" spans="1:16">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c r="P1990" s="14" t="s">
        <v>2524</v>
      </c>
    </row>
    <row r="1991" spans="1:16">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c r="P1991" s="14" t="s">
        <v>2521</v>
      </c>
    </row>
    <row r="1992" spans="1:16">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c r="P1992" s="14" t="s">
        <v>2524</v>
      </c>
    </row>
    <row r="1993" spans="1:16">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c r="P1993" s="14" t="s">
        <v>2522</v>
      </c>
    </row>
    <row r="1994" spans="1:16">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c r="P1994" s="14" t="s">
        <v>2523</v>
      </c>
    </row>
    <row r="1995" spans="1:16">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c r="P1995" s="14" t="s">
        <v>2522</v>
      </c>
    </row>
    <row r="1996" spans="1:16">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c r="P1996" s="14" t="s">
        <v>2521</v>
      </c>
    </row>
    <row r="1997" spans="1:16">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c r="P1997" s="14" t="s">
        <v>2523</v>
      </c>
    </row>
    <row r="1998" spans="1:16">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c r="P1998" s="14" t="s">
        <v>2521</v>
      </c>
    </row>
    <row r="1999" spans="1:16">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c r="P1999" s="14" t="s">
        <v>2524</v>
      </c>
    </row>
    <row r="2000" spans="1:16">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c r="P2000" s="14" t="s">
        <v>2521</v>
      </c>
    </row>
    <row r="2001" spans="1:16">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c r="P2001" s="14" t="s">
        <v>2524</v>
      </c>
    </row>
    <row r="2002" spans="1:16">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c r="P2002" s="14" t="s">
        <v>2522</v>
      </c>
    </row>
    <row r="2003" spans="1:16">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c r="P2003" s="14" t="s">
        <v>2523</v>
      </c>
    </row>
    <row r="2004" spans="1:16">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c r="P2004" s="14" t="s">
        <v>2522</v>
      </c>
    </row>
    <row r="2005" spans="1:16">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c r="P2005" s="14" t="s">
        <v>2521</v>
      </c>
    </row>
    <row r="2006" spans="1:16">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c r="P2006" s="14" t="s">
        <v>2523</v>
      </c>
    </row>
    <row r="2007" spans="1:16">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c r="P2007" s="14" t="s">
        <v>2521</v>
      </c>
    </row>
    <row r="2008" spans="1:16">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c r="P2008" s="14" t="s">
        <v>2524</v>
      </c>
    </row>
    <row r="2009" spans="1:16">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c r="P2009" s="14" t="s">
        <v>2521</v>
      </c>
    </row>
    <row r="2010" spans="1:16">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c r="P2010" s="14" t="s">
        <v>2524</v>
      </c>
    </row>
    <row r="2011" spans="1:16">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c r="P2011" s="14" t="s">
        <v>2522</v>
      </c>
    </row>
    <row r="2012" spans="1:16">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c r="P2012" s="14" t="s">
        <v>2523</v>
      </c>
    </row>
    <row r="2013" spans="1:16">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c r="P2013" s="14" t="s">
        <v>2522</v>
      </c>
    </row>
    <row r="2014" spans="1:16">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c r="P2014" s="14" t="s">
        <v>2521</v>
      </c>
    </row>
    <row r="2015" spans="1:16">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c r="P2015" s="14" t="s">
        <v>2523</v>
      </c>
    </row>
    <row r="2016" spans="1:16">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c r="P2016" s="14" t="s">
        <v>2521</v>
      </c>
    </row>
    <row r="2017" spans="1:16">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c r="P2017" s="14" t="s">
        <v>2524</v>
      </c>
    </row>
    <row r="2018" spans="1:16">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c r="P2018" s="14" t="s">
        <v>2521</v>
      </c>
    </row>
    <row r="2019" spans="1:16">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c r="P2019" s="14" t="s">
        <v>2524</v>
      </c>
    </row>
    <row r="2020" spans="1:16">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c r="P2020" s="14" t="s">
        <v>2522</v>
      </c>
    </row>
    <row r="2021" spans="1:16">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c r="P2021" s="14" t="s">
        <v>2523</v>
      </c>
    </row>
    <row r="2022" spans="1:16">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c r="P2022" s="14" t="s">
        <v>2522</v>
      </c>
    </row>
    <row r="2023" spans="1:16">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c r="P2023" s="14" t="s">
        <v>2521</v>
      </c>
    </row>
    <row r="2024" spans="1:16">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c r="P2024" s="14" t="s">
        <v>2523</v>
      </c>
    </row>
    <row r="2025" spans="1:16">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c r="P2025" s="14" t="s">
        <v>2521</v>
      </c>
    </row>
    <row r="2026" spans="1:16">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c r="P2026" s="14" t="s">
        <v>2524</v>
      </c>
    </row>
    <row r="2027" spans="1:16">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c r="P2027" s="14" t="s">
        <v>2521</v>
      </c>
    </row>
    <row r="2028" spans="1:16">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c r="P2028" s="14" t="s">
        <v>2524</v>
      </c>
    </row>
    <row r="2029" spans="1:16">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c r="P2029" s="14" t="s">
        <v>2522</v>
      </c>
    </row>
    <row r="2030" spans="1:16">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c r="P2030" s="14" t="s">
        <v>2523</v>
      </c>
    </row>
    <row r="2031" spans="1:16">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c r="P2031" s="14" t="s">
        <v>2522</v>
      </c>
    </row>
    <row r="2032" spans="1:16">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c r="P2032" s="14" t="s">
        <v>2521</v>
      </c>
    </row>
    <row r="2033" spans="1:16">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c r="P2033" s="14" t="s">
        <v>2523</v>
      </c>
    </row>
    <row r="2034" spans="1:16">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c r="P2034" s="14" t="s">
        <v>2521</v>
      </c>
    </row>
    <row r="2035" spans="1:16">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c r="P2035" s="14" t="s">
        <v>2524</v>
      </c>
    </row>
    <row r="2036" spans="1:16">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c r="P2036" s="14" t="s">
        <v>2521</v>
      </c>
    </row>
    <row r="2037" spans="1:16">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c r="P2037" s="14" t="s">
        <v>2524</v>
      </c>
    </row>
    <row r="2038" spans="1:16">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c r="P2038" s="14" t="s">
        <v>2522</v>
      </c>
    </row>
    <row r="2039" spans="1:16">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c r="P2039" s="14" t="s">
        <v>2523</v>
      </c>
    </row>
    <row r="2040" spans="1:16">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c r="P2040" s="14" t="s">
        <v>2522</v>
      </c>
    </row>
    <row r="2041" spans="1:16">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c r="P2041" s="14" t="s">
        <v>2521</v>
      </c>
    </row>
    <row r="2042" spans="1:16">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c r="P2042" s="14" t="s">
        <v>2523</v>
      </c>
    </row>
    <row r="2043" spans="1:16">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c r="P2043" s="14" t="s">
        <v>2521</v>
      </c>
    </row>
    <row r="2044" spans="1:16">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c r="P2044" s="14" t="s">
        <v>2524</v>
      </c>
    </row>
    <row r="2045" spans="1:16">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c r="P2045" s="14" t="s">
        <v>2521</v>
      </c>
    </row>
    <row r="2046" spans="1:16">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c r="P2046" s="14" t="s">
        <v>2524</v>
      </c>
    </row>
    <row r="2047" spans="1:16">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c r="P2047" s="14" t="s">
        <v>2522</v>
      </c>
    </row>
    <row r="2048" spans="1:16">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c r="P2048" s="14" t="s">
        <v>2523</v>
      </c>
    </row>
    <row r="2049" spans="1:16">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c r="P2049" s="14" t="s">
        <v>2522</v>
      </c>
    </row>
    <row r="2050" spans="1:16">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c r="P2050" s="14" t="s">
        <v>2521</v>
      </c>
    </row>
    <row r="2051" spans="1:16">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c r="P2051" s="14" t="s">
        <v>2523</v>
      </c>
    </row>
    <row r="2052" spans="1:16">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c r="P2052" s="14" t="s">
        <v>2521</v>
      </c>
    </row>
    <row r="2053" spans="1:16">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c r="P2053" s="14" t="s">
        <v>2524</v>
      </c>
    </row>
    <row r="2054" spans="1:16">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c r="P2054" s="14" t="s">
        <v>2521</v>
      </c>
    </row>
    <row r="2055" spans="1:16">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c r="P2055" s="14" t="s">
        <v>2524</v>
      </c>
    </row>
    <row r="2056" spans="1:16">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c r="P2056" s="14" t="s">
        <v>2522</v>
      </c>
    </row>
    <row r="2057" spans="1:16">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c r="P2057" s="14" t="s">
        <v>2523</v>
      </c>
    </row>
    <row r="2058" spans="1:16">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c r="P2058" s="14" t="s">
        <v>2522</v>
      </c>
    </row>
    <row r="2059" spans="1:16">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c r="P2059" s="14" t="s">
        <v>2521</v>
      </c>
    </row>
    <row r="2060" spans="1:16">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c r="P2060" s="14" t="s">
        <v>2523</v>
      </c>
    </row>
    <row r="2061" spans="1:16">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c r="P2061" s="14" t="s">
        <v>2521</v>
      </c>
    </row>
    <row r="2062" spans="1:16">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c r="P2062" s="14" t="s">
        <v>2524</v>
      </c>
    </row>
    <row r="2063" spans="1:16">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c r="P2063" s="14" t="s">
        <v>2521</v>
      </c>
    </row>
    <row r="2064" spans="1:16">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c r="P2064" s="14" t="s">
        <v>2524</v>
      </c>
    </row>
    <row r="2065" spans="1:16">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c r="P2065" s="14" t="s">
        <v>2522</v>
      </c>
    </row>
    <row r="2066" spans="1:16">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c r="P2066" s="14" t="s">
        <v>2523</v>
      </c>
    </row>
    <row r="2067" spans="1:16">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c r="P2067" s="14" t="s">
        <v>2522</v>
      </c>
    </row>
    <row r="2068" spans="1:16">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c r="P2068" s="14" t="s">
        <v>2521</v>
      </c>
    </row>
    <row r="2069" spans="1:16">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c r="P2069" s="14" t="s">
        <v>2523</v>
      </c>
    </row>
    <row r="2070" spans="1:16">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c r="P2070" s="14" t="s">
        <v>2521</v>
      </c>
    </row>
    <row r="2071" spans="1:16">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c r="P2071" s="14" t="s">
        <v>2524</v>
      </c>
    </row>
    <row r="2072" spans="1:16">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c r="P2072" s="14" t="s">
        <v>2521</v>
      </c>
    </row>
    <row r="2073" spans="1:16">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c r="P2073" s="14" t="s">
        <v>2524</v>
      </c>
    </row>
    <row r="2074" spans="1:16">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c r="P2074" s="14" t="s">
        <v>2522</v>
      </c>
    </row>
    <row r="2075" spans="1:16">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c r="P2075" s="14" t="s">
        <v>2523</v>
      </c>
    </row>
    <row r="2076" spans="1:16">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c r="P2076" s="14" t="s">
        <v>2522</v>
      </c>
    </row>
    <row r="2077" spans="1:16">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c r="P2077" s="14" t="s">
        <v>2521</v>
      </c>
    </row>
    <row r="2078" spans="1:16">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c r="P2078" s="14" t="s">
        <v>2523</v>
      </c>
    </row>
    <row r="2079" spans="1:16">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c r="P2079" s="14" t="s">
        <v>2521</v>
      </c>
    </row>
    <row r="2080" spans="1:16">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c r="P2080" s="14" t="s">
        <v>2524</v>
      </c>
    </row>
    <row r="2081" spans="1:16">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c r="P2081" s="14" t="s">
        <v>2521</v>
      </c>
    </row>
    <row r="2082" spans="1:16">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c r="P2082" s="14" t="s">
        <v>2524</v>
      </c>
    </row>
    <row r="2083" spans="1:16">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c r="P2083" s="14" t="s">
        <v>2522</v>
      </c>
    </row>
    <row r="2084" spans="1:16">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c r="P2084" s="14" t="s">
        <v>2523</v>
      </c>
    </row>
    <row r="2085" spans="1:16">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c r="P2085" s="14" t="s">
        <v>2522</v>
      </c>
    </row>
    <row r="2086" spans="1:16">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c r="P2086" s="14" t="s">
        <v>2521</v>
      </c>
    </row>
    <row r="2087" spans="1:16">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c r="P2087" s="14" t="s">
        <v>2523</v>
      </c>
    </row>
    <row r="2088" spans="1:16">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c r="P2088" s="14" t="s">
        <v>2521</v>
      </c>
    </row>
    <row r="2089" spans="1:16">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c r="P2089" s="14" t="s">
        <v>2524</v>
      </c>
    </row>
    <row r="2090" spans="1:16">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c r="P2090" s="14" t="s">
        <v>2521</v>
      </c>
    </row>
    <row r="2091" spans="1:16">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c r="P2091" s="14" t="s">
        <v>2524</v>
      </c>
    </row>
    <row r="2092" spans="1:16">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c r="P2092" s="14" t="s">
        <v>2522</v>
      </c>
    </row>
    <row r="2093" spans="1:16">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c r="P2093" s="14" t="s">
        <v>2523</v>
      </c>
    </row>
    <row r="2094" spans="1:16">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c r="P2094" s="14" t="s">
        <v>2522</v>
      </c>
    </row>
    <row r="2095" spans="1:16">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c r="P2095" s="14" t="s">
        <v>2521</v>
      </c>
    </row>
    <row r="2096" spans="1:16">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c r="P2096" s="14" t="s">
        <v>2523</v>
      </c>
    </row>
    <row r="2097" spans="1:16">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c r="P2097" s="14" t="s">
        <v>2521</v>
      </c>
    </row>
    <row r="2098" spans="1:16">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c r="P2098" s="14" t="s">
        <v>2524</v>
      </c>
    </row>
    <row r="2099" spans="1:16">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c r="P2099" s="14" t="s">
        <v>2521</v>
      </c>
    </row>
    <row r="2100" spans="1:16">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c r="P2100" s="14" t="s">
        <v>2524</v>
      </c>
    </row>
    <row r="2101" spans="1:16">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c r="P2101" s="14" t="s">
        <v>2522</v>
      </c>
    </row>
    <row r="2102" spans="1:16">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c r="P2102" s="14" t="s">
        <v>2523</v>
      </c>
    </row>
    <row r="2103" spans="1:16">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c r="P2103" s="14" t="s">
        <v>2522</v>
      </c>
    </row>
    <row r="2104" spans="1:16">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c r="P2104" s="14" t="s">
        <v>2521</v>
      </c>
    </row>
    <row r="2105" spans="1:16">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c r="P2105" s="14" t="s">
        <v>2523</v>
      </c>
    </row>
    <row r="2106" spans="1:16">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c r="P2106" s="14" t="s">
        <v>2521</v>
      </c>
    </row>
    <row r="2107" spans="1:16">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c r="P2107" s="14" t="s">
        <v>2524</v>
      </c>
    </row>
    <row r="2108" spans="1:16">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c r="P2108" s="14" t="s">
        <v>2521</v>
      </c>
    </row>
    <row r="2109" spans="1:16">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c r="P2109" s="14" t="s">
        <v>2524</v>
      </c>
    </row>
    <row r="2110" spans="1:16">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c r="P2110" s="14" t="s">
        <v>2522</v>
      </c>
    </row>
    <row r="2111" spans="1:16">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c r="P2111" s="14" t="s">
        <v>2523</v>
      </c>
    </row>
    <row r="2112" spans="1:16">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c r="P2112" s="14" t="s">
        <v>2522</v>
      </c>
    </row>
    <row r="2113" spans="1:16">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c r="P2113" s="14" t="s">
        <v>2521</v>
      </c>
    </row>
    <row r="2114" spans="1:16">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c r="P2114" s="14" t="s">
        <v>2523</v>
      </c>
    </row>
    <row r="2115" spans="1:16">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c r="P2115" s="14" t="s">
        <v>2521</v>
      </c>
    </row>
    <row r="2116" spans="1:16">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c r="P2116" s="14" t="s">
        <v>2524</v>
      </c>
    </row>
    <row r="2117" spans="1:16">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c r="P2117" s="14" t="s">
        <v>2521</v>
      </c>
    </row>
    <row r="2118" spans="1:16">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c r="P2118" s="14" t="s">
        <v>2524</v>
      </c>
    </row>
    <row r="2119" spans="1:16">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c r="P2119" s="14" t="s">
        <v>2522</v>
      </c>
    </row>
    <row r="2120" spans="1:16">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c r="P2120" s="14" t="s">
        <v>2523</v>
      </c>
    </row>
    <row r="2121" spans="1:16">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c r="P2121" s="14" t="s">
        <v>2522</v>
      </c>
    </row>
    <row r="2122" spans="1:16">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c r="P2122" s="14" t="s">
        <v>2521</v>
      </c>
    </row>
    <row r="2123" spans="1:16">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c r="P2123" s="14" t="s">
        <v>2523</v>
      </c>
    </row>
    <row r="2124" spans="1:16">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c r="P2124" s="14" t="s">
        <v>2521</v>
      </c>
    </row>
    <row r="2125" spans="1:16">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c r="P2125" s="14" t="s">
        <v>2524</v>
      </c>
    </row>
    <row r="2126" spans="1:16">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c r="P2126" s="14" t="s">
        <v>2521</v>
      </c>
    </row>
    <row r="2127" spans="1:16">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c r="P2127" s="14" t="s">
        <v>2524</v>
      </c>
    </row>
    <row r="2128" spans="1:16">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c r="P2128" s="14" t="s">
        <v>2522</v>
      </c>
    </row>
    <row r="2129" spans="1:16">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c r="P2129" s="14" t="s">
        <v>2523</v>
      </c>
    </row>
    <row r="2130" spans="1:16">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c r="P2130" s="14" t="s">
        <v>2522</v>
      </c>
    </row>
    <row r="2131" spans="1:16">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c r="P2131" s="14" t="s">
        <v>2521</v>
      </c>
    </row>
    <row r="2132" spans="1:16">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c r="P2132" s="14" t="s">
        <v>2523</v>
      </c>
    </row>
    <row r="2133" spans="1:16">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c r="P2133" s="14" t="s">
        <v>2521</v>
      </c>
    </row>
    <row r="2134" spans="1:16">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c r="P2134" s="14" t="s">
        <v>2524</v>
      </c>
    </row>
    <row r="2135" spans="1:16">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c r="P2135" s="14" t="s">
        <v>2521</v>
      </c>
    </row>
    <row r="2136" spans="1:16">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c r="P2136" s="14" t="s">
        <v>2524</v>
      </c>
    </row>
    <row r="2137" spans="1:16">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c r="P2137" s="14" t="s">
        <v>2522</v>
      </c>
    </row>
    <row r="2138" spans="1:16">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c r="P2138" s="14" t="s">
        <v>2523</v>
      </c>
    </row>
    <row r="2139" spans="1:16">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c r="P2139" s="14" t="s">
        <v>2522</v>
      </c>
    </row>
    <row r="2140" spans="1:16">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c r="P2140" s="14" t="s">
        <v>2521</v>
      </c>
    </row>
    <row r="2141" spans="1:16">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c r="P2141" s="14" t="s">
        <v>2523</v>
      </c>
    </row>
    <row r="2142" spans="1:16">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c r="P2142" s="14" t="s">
        <v>2521</v>
      </c>
    </row>
    <row r="2143" spans="1:16">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c r="P2143" s="14" t="s">
        <v>2524</v>
      </c>
    </row>
    <row r="2144" spans="1:16">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c r="P2144" s="14" t="s">
        <v>2521</v>
      </c>
    </row>
    <row r="2145" spans="1:16">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c r="P2145" s="14" t="s">
        <v>2524</v>
      </c>
    </row>
    <row r="2146" spans="1:16">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c r="P2146" s="14" t="s">
        <v>2522</v>
      </c>
    </row>
    <row r="2147" spans="1:16">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c r="P2147" s="14" t="s">
        <v>2523</v>
      </c>
    </row>
    <row r="2148" spans="1:16">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c r="P2148" s="14" t="s">
        <v>2522</v>
      </c>
    </row>
    <row r="2149" spans="1:16">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c r="P2149" s="14" t="s">
        <v>2521</v>
      </c>
    </row>
    <row r="2150" spans="1:16">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c r="P2150" s="14" t="s">
        <v>2523</v>
      </c>
    </row>
    <row r="2151" spans="1:16">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c r="P2151" s="14" t="s">
        <v>2521</v>
      </c>
    </row>
    <row r="2152" spans="1:16">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c r="P2152" s="14" t="s">
        <v>2524</v>
      </c>
    </row>
    <row r="2153" spans="1:16">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c r="P2153" s="14" t="s">
        <v>2521</v>
      </c>
    </row>
    <row r="2154" spans="1:16">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c r="P2154" s="14" t="s">
        <v>2524</v>
      </c>
    </row>
    <row r="2155" spans="1:16">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c r="P2155" s="14" t="s">
        <v>2522</v>
      </c>
    </row>
    <row r="2156" spans="1:16">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c r="P2156" s="14" t="s">
        <v>2523</v>
      </c>
    </row>
    <row r="2157" spans="1:16">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c r="P2157" s="14" t="s">
        <v>2522</v>
      </c>
    </row>
    <row r="2158" spans="1:16">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c r="P2158" s="14" t="s">
        <v>2521</v>
      </c>
    </row>
    <row r="2159" spans="1:16">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c r="P2159" s="14" t="s">
        <v>2523</v>
      </c>
    </row>
    <row r="2160" spans="1:16">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c r="P2160" s="14" t="s">
        <v>2521</v>
      </c>
    </row>
    <row r="2161" spans="1:16">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c r="P2161" s="14" t="s">
        <v>2524</v>
      </c>
    </row>
    <row r="2162" spans="1:16">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c r="P2162" s="14" t="s">
        <v>2521</v>
      </c>
    </row>
    <row r="2163" spans="1:16">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c r="P2163" s="14" t="s">
        <v>2524</v>
      </c>
    </row>
    <row r="2164" spans="1:16">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c r="P2164" s="14" t="s">
        <v>2522</v>
      </c>
    </row>
    <row r="2165" spans="1:16">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c r="P2165" s="14" t="s">
        <v>2523</v>
      </c>
    </row>
    <row r="2166" spans="1:16">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c r="P2166" s="14" t="s">
        <v>2522</v>
      </c>
    </row>
    <row r="2167" spans="1:16">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c r="P2167" s="14" t="s">
        <v>2521</v>
      </c>
    </row>
    <row r="2168" spans="1:16">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c r="P2168" s="14" t="s">
        <v>2523</v>
      </c>
    </row>
    <row r="2169" spans="1:16">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c r="P2169" s="14" t="s">
        <v>2521</v>
      </c>
    </row>
    <row r="2170" spans="1:16">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c r="P2170" s="14" t="s">
        <v>2524</v>
      </c>
    </row>
    <row r="2171" spans="1:16">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c r="P2171" s="14" t="s">
        <v>2521</v>
      </c>
    </row>
    <row r="2172" spans="1:16">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c r="P2172" s="14" t="s">
        <v>2524</v>
      </c>
    </row>
    <row r="2173" spans="1:16">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c r="P2173" s="14" t="s">
        <v>2522</v>
      </c>
    </row>
    <row r="2174" spans="1:16">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c r="P2174" s="14" t="s">
        <v>2523</v>
      </c>
    </row>
    <row r="2175" spans="1:16">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c r="P2175" s="14" t="s">
        <v>2522</v>
      </c>
    </row>
    <row r="2176" spans="1:16">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c r="P2176" s="14" t="s">
        <v>2521</v>
      </c>
    </row>
    <row r="2177" spans="1:16">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c r="P2177" s="14" t="s">
        <v>2523</v>
      </c>
    </row>
    <row r="2178" spans="1:16">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c r="P2178" s="14" t="s">
        <v>2521</v>
      </c>
    </row>
    <row r="2179" spans="1:16">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c r="P2179" s="14" t="s">
        <v>2524</v>
      </c>
    </row>
    <row r="2180" spans="1:16">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c r="P2180" s="14" t="s">
        <v>2521</v>
      </c>
    </row>
    <row r="2181" spans="1:16">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c r="P2181" s="14" t="s">
        <v>2524</v>
      </c>
    </row>
    <row r="2182" spans="1:16">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c r="P2182" s="14" t="s">
        <v>2522</v>
      </c>
    </row>
    <row r="2183" spans="1:16">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c r="P2183" s="14" t="s">
        <v>2523</v>
      </c>
    </row>
    <row r="2184" spans="1:16">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c r="P2184" s="14" t="s">
        <v>2522</v>
      </c>
    </row>
    <row r="2185" spans="1:16">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c r="P2185" s="14" t="s">
        <v>2521</v>
      </c>
    </row>
    <row r="2186" spans="1:16">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c r="P2186" s="14" t="s">
        <v>2523</v>
      </c>
    </row>
    <row r="2187" spans="1:16">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c r="P2187" s="14" t="s">
        <v>2521</v>
      </c>
    </row>
    <row r="2188" spans="1:16">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c r="P2188" s="14" t="s">
        <v>2524</v>
      </c>
    </row>
    <row r="2189" spans="1:16">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c r="P2189" s="14" t="s">
        <v>2521</v>
      </c>
    </row>
    <row r="2190" spans="1:16">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c r="P2190" s="14" t="s">
        <v>2524</v>
      </c>
    </row>
    <row r="2191" spans="1:16">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c r="P2191" s="14" t="s">
        <v>2522</v>
      </c>
    </row>
    <row r="2192" spans="1:16">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c r="P2192" s="14" t="s">
        <v>2523</v>
      </c>
    </row>
    <row r="2193" spans="1:16">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c r="P2193" s="14" t="s">
        <v>2522</v>
      </c>
    </row>
    <row r="2194" spans="1:16">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c r="P2194" s="14" t="s">
        <v>2521</v>
      </c>
    </row>
    <row r="2195" spans="1:16">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c r="P2195" s="14" t="s">
        <v>2523</v>
      </c>
    </row>
    <row r="2196" spans="1:16">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c r="P2196" s="14" t="s">
        <v>2521</v>
      </c>
    </row>
    <row r="2197" spans="1:16">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c r="P2197" s="14" t="s">
        <v>2524</v>
      </c>
    </row>
    <row r="2198" spans="1:16">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c r="P2198" s="14" t="s">
        <v>2521</v>
      </c>
    </row>
    <row r="2199" spans="1:16">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c r="P2199" s="14" t="s">
        <v>2524</v>
      </c>
    </row>
    <row r="2200" spans="1:16">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c r="P2200" s="14" t="s">
        <v>2522</v>
      </c>
    </row>
    <row r="2201" spans="1:16">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c r="P2201" s="14" t="s">
        <v>2523</v>
      </c>
    </row>
    <row r="2202" spans="1:16">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c r="P2202" s="14" t="s">
        <v>2522</v>
      </c>
    </row>
    <row r="2203" spans="1:16">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c r="P2203" s="14" t="s">
        <v>2521</v>
      </c>
    </row>
    <row r="2204" spans="1:16">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c r="P2204" s="14" t="s">
        <v>2523</v>
      </c>
    </row>
    <row r="2205" spans="1:16">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c r="P2205" s="14" t="s">
        <v>2521</v>
      </c>
    </row>
    <row r="2206" spans="1:16">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c r="P2206" s="14" t="s">
        <v>2524</v>
      </c>
    </row>
    <row r="2207" spans="1:16">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c r="P2207" s="14" t="s">
        <v>2521</v>
      </c>
    </row>
    <row r="2208" spans="1:16">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c r="P2208" s="14" t="s">
        <v>2524</v>
      </c>
    </row>
    <row r="2209" spans="1:16">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c r="P2209" s="14" t="s">
        <v>2522</v>
      </c>
    </row>
    <row r="2210" spans="1:16">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c r="P2210" s="14" t="s">
        <v>2523</v>
      </c>
    </row>
    <row r="2211" spans="1:16">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c r="P2211" s="14" t="s">
        <v>2522</v>
      </c>
    </row>
    <row r="2212" spans="1:16">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c r="P2212" s="14" t="s">
        <v>2521</v>
      </c>
    </row>
    <row r="2213" spans="1:16">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c r="P2213" s="14" t="s">
        <v>2523</v>
      </c>
    </row>
    <row r="2214" spans="1:16">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c r="P2214" s="14" t="s">
        <v>2521</v>
      </c>
    </row>
    <row r="2215" spans="1:16">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c r="P2215" s="14" t="s">
        <v>2524</v>
      </c>
    </row>
    <row r="2216" spans="1:16">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c r="P2216" s="14" t="s">
        <v>2521</v>
      </c>
    </row>
    <row r="2217" spans="1:16">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c r="P2217" s="14" t="s">
        <v>2524</v>
      </c>
    </row>
    <row r="2218" spans="1:16">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c r="P2218" s="14" t="s">
        <v>2522</v>
      </c>
    </row>
    <row r="2219" spans="1:16">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c r="P2219" s="14" t="s">
        <v>2523</v>
      </c>
    </row>
    <row r="2220" spans="1:16">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c r="P2220" s="14" t="s">
        <v>2522</v>
      </c>
    </row>
    <row r="2221" spans="1:16">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c r="P2221" s="14" t="s">
        <v>2521</v>
      </c>
    </row>
    <row r="2222" spans="1:16">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c r="P2222" s="14" t="s">
        <v>2523</v>
      </c>
    </row>
    <row r="2223" spans="1:16">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c r="P2223" s="14" t="s">
        <v>2521</v>
      </c>
    </row>
    <row r="2224" spans="1:16">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c r="P2224" s="14" t="s">
        <v>2524</v>
      </c>
    </row>
    <row r="2225" spans="1:16">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c r="P2225" s="14" t="s">
        <v>2521</v>
      </c>
    </row>
    <row r="2226" spans="1:16">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c r="P2226" s="14" t="s">
        <v>2524</v>
      </c>
    </row>
    <row r="2227" spans="1:16">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c r="P2227" s="14" t="s">
        <v>2522</v>
      </c>
    </row>
    <row r="2228" spans="1:16">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c r="P2228" s="14" t="s">
        <v>2523</v>
      </c>
    </row>
    <row r="2229" spans="1:16">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c r="P2229" s="14" t="s">
        <v>2522</v>
      </c>
    </row>
    <row r="2230" spans="1:16">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c r="P2230" s="14" t="s">
        <v>2521</v>
      </c>
    </row>
    <row r="2231" spans="1:16">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c r="P2231" s="14" t="s">
        <v>2523</v>
      </c>
    </row>
    <row r="2232" spans="1:16">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c r="P2232" s="14" t="s">
        <v>2521</v>
      </c>
    </row>
    <row r="2233" spans="1:16">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c r="P2233" s="14" t="s">
        <v>2524</v>
      </c>
    </row>
    <row r="2234" spans="1:16">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c r="P2234" s="14" t="s">
        <v>2521</v>
      </c>
    </row>
    <row r="2235" spans="1:16">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c r="P2235" s="14" t="s">
        <v>2524</v>
      </c>
    </row>
    <row r="2236" spans="1:16">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c r="P2236" s="14" t="s">
        <v>2522</v>
      </c>
    </row>
    <row r="2237" spans="1:16">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c r="P2237" s="14" t="s">
        <v>2523</v>
      </c>
    </row>
    <row r="2238" spans="1:16">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c r="P2238" s="14" t="s">
        <v>2522</v>
      </c>
    </row>
    <row r="2239" spans="1:16">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c r="P2239" s="14" t="s">
        <v>2521</v>
      </c>
    </row>
    <row r="2240" spans="1:16">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c r="P2240" s="14" t="s">
        <v>2523</v>
      </c>
    </row>
    <row r="2241" spans="1:16">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c r="P2241" s="14" t="s">
        <v>2521</v>
      </c>
    </row>
    <row r="2242" spans="1:16">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c r="P2242" s="14" t="s">
        <v>2524</v>
      </c>
    </row>
    <row r="2243" spans="1:16">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c r="P2243" s="14" t="s">
        <v>2521</v>
      </c>
    </row>
    <row r="2244" spans="1:16">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c r="P2244" s="14" t="s">
        <v>2524</v>
      </c>
    </row>
    <row r="2245" spans="1:16">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c r="P2245" s="14" t="s">
        <v>2522</v>
      </c>
    </row>
    <row r="2246" spans="1:16">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c r="P2246" s="14" t="s">
        <v>2523</v>
      </c>
    </row>
    <row r="2247" spans="1:16">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c r="P2247" s="14" t="s">
        <v>2522</v>
      </c>
    </row>
    <row r="2248" spans="1:16">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c r="P2248" s="14" t="s">
        <v>2521</v>
      </c>
    </row>
    <row r="2249" spans="1:16">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c r="P2249" s="14" t="s">
        <v>2523</v>
      </c>
    </row>
    <row r="2250" spans="1:16">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c r="P2250" s="14" t="s">
        <v>2521</v>
      </c>
    </row>
    <row r="2251" spans="1:16">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c r="P2251" s="14" t="s">
        <v>2524</v>
      </c>
    </row>
    <row r="2252" spans="1:16">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c r="P2252" s="14" t="s">
        <v>2521</v>
      </c>
    </row>
    <row r="2253" spans="1:16">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c r="P2253" s="14" t="s">
        <v>2524</v>
      </c>
    </row>
    <row r="2254" spans="1:16">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c r="P2254" s="14" t="s">
        <v>2522</v>
      </c>
    </row>
    <row r="2255" spans="1:16">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c r="P2255" s="14" t="s">
        <v>2523</v>
      </c>
    </row>
    <row r="2256" spans="1:16">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c r="P2256" s="14" t="s">
        <v>2522</v>
      </c>
    </row>
    <row r="2257" spans="1:16">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c r="P2257" s="14" t="s">
        <v>2521</v>
      </c>
    </row>
    <row r="2258" spans="1:16">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c r="P2258" s="14" t="s">
        <v>2523</v>
      </c>
    </row>
    <row r="2259" spans="1:16">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c r="P2259" s="14" t="s">
        <v>2521</v>
      </c>
    </row>
    <row r="2260" spans="1:16">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c r="P2260" s="14" t="s">
        <v>2524</v>
      </c>
    </row>
    <row r="2261" spans="1:16">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c r="P2261" s="14" t="s">
        <v>2521</v>
      </c>
    </row>
    <row r="2262" spans="1:16">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c r="P2262" s="14" t="s">
        <v>2524</v>
      </c>
    </row>
    <row r="2263" spans="1:16">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c r="P2263" s="14" t="s">
        <v>2522</v>
      </c>
    </row>
    <row r="2264" spans="1:16">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c r="P2264" s="14" t="s">
        <v>2523</v>
      </c>
    </row>
    <row r="2265" spans="1:16">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c r="P2265" s="14" t="s">
        <v>2522</v>
      </c>
    </row>
    <row r="2266" spans="1:16">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c r="P2266" s="14" t="s">
        <v>2521</v>
      </c>
    </row>
    <row r="2267" spans="1:16">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c r="P2267" s="14" t="s">
        <v>2523</v>
      </c>
    </row>
    <row r="2268" spans="1:16">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c r="P2268" s="14" t="s">
        <v>2521</v>
      </c>
    </row>
    <row r="2269" spans="1:16">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c r="P2269" s="14" t="s">
        <v>2524</v>
      </c>
    </row>
    <row r="2270" spans="1:16">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c r="P2270" s="14" t="s">
        <v>2521</v>
      </c>
    </row>
    <row r="2271" spans="1:16">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c r="P2271" s="14" t="s">
        <v>2524</v>
      </c>
    </row>
    <row r="2272" spans="1:16">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c r="P2272" s="14" t="s">
        <v>2522</v>
      </c>
    </row>
    <row r="2273" spans="1:16">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c r="P2273" s="14" t="s">
        <v>2523</v>
      </c>
    </row>
    <row r="2274" spans="1:16">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c r="P2274" s="14" t="s">
        <v>2522</v>
      </c>
    </row>
    <row r="2275" spans="1:16">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c r="P2275" s="14" t="s">
        <v>2521</v>
      </c>
    </row>
    <row r="2276" spans="1:16">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c r="P2276" s="14" t="s">
        <v>2523</v>
      </c>
    </row>
    <row r="2277" spans="1:16">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c r="P2277" s="14" t="s">
        <v>2521</v>
      </c>
    </row>
    <row r="2278" spans="1:16">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c r="P2278" s="14" t="s">
        <v>2524</v>
      </c>
    </row>
    <row r="2279" spans="1:16">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c r="P2279" s="14" t="s">
        <v>2521</v>
      </c>
    </row>
    <row r="2280" spans="1:16">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c r="P2280" s="14" t="s">
        <v>2524</v>
      </c>
    </row>
    <row r="2281" spans="1:16">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c r="P2281" s="14" t="s">
        <v>2522</v>
      </c>
    </row>
    <row r="2282" spans="1:16">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c r="P2282" s="14" t="s">
        <v>2523</v>
      </c>
    </row>
    <row r="2283" spans="1:16">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c r="P2283" s="14" t="s">
        <v>2522</v>
      </c>
    </row>
    <row r="2284" spans="1:16">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c r="P2284" s="14" t="s">
        <v>2521</v>
      </c>
    </row>
    <row r="2285" spans="1:16">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c r="P2285" s="14" t="s">
        <v>2523</v>
      </c>
    </row>
    <row r="2286" spans="1:16">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c r="P2286" s="14" t="s">
        <v>2521</v>
      </c>
    </row>
    <row r="2287" spans="1:16">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c r="P2287" s="14" t="s">
        <v>2524</v>
      </c>
    </row>
    <row r="2288" spans="1:16">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c r="P2288" s="14" t="s">
        <v>2521</v>
      </c>
    </row>
    <row r="2289" spans="1:16">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c r="P2289" s="14" t="s">
        <v>2524</v>
      </c>
    </row>
    <row r="2290" spans="1:16">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c r="P2290" s="14" t="s">
        <v>2522</v>
      </c>
    </row>
    <row r="2291" spans="1:16">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c r="P2291" s="14" t="s">
        <v>2523</v>
      </c>
    </row>
    <row r="2292" spans="1:16">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c r="P2292" s="14" t="s">
        <v>2522</v>
      </c>
    </row>
    <row r="2293" spans="1:16">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c r="P2293" s="14" t="s">
        <v>2521</v>
      </c>
    </row>
    <row r="2294" spans="1:16">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c r="P2294" s="14" t="s">
        <v>2523</v>
      </c>
    </row>
    <row r="2295" spans="1:16">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c r="P2295" s="14" t="s">
        <v>2521</v>
      </c>
    </row>
    <row r="2296" spans="1:16">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c r="P2296" s="14" t="s">
        <v>2524</v>
      </c>
    </row>
    <row r="2297" spans="1:16">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c r="P2297" s="14" t="s">
        <v>2521</v>
      </c>
    </row>
    <row r="2298" spans="1:16">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c r="P2298" s="14" t="s">
        <v>2524</v>
      </c>
    </row>
    <row r="2299" spans="1:16">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c r="P2299" s="14" t="s">
        <v>2522</v>
      </c>
    </row>
    <row r="2300" spans="1:16">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c r="P2300" s="14" t="s">
        <v>2523</v>
      </c>
    </row>
    <row r="2301" spans="1:16">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c r="P2301" s="14" t="s">
        <v>2522</v>
      </c>
    </row>
    <row r="2302" spans="1:16">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c r="P2302" s="14" t="s">
        <v>2521</v>
      </c>
    </row>
    <row r="2303" spans="1:16">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c r="P2303" s="14" t="s">
        <v>2523</v>
      </c>
    </row>
    <row r="2304" spans="1:16">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c r="P2304" s="14" t="s">
        <v>2521</v>
      </c>
    </row>
    <row r="2305" spans="1:16">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c r="P2305" s="14" t="s">
        <v>2524</v>
      </c>
    </row>
    <row r="2306" spans="1:16">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c r="P2306" s="14" t="s">
        <v>2521</v>
      </c>
    </row>
    <row r="2307" spans="1:16">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c r="P2307" s="14" t="s">
        <v>2524</v>
      </c>
    </row>
    <row r="2308" spans="1:16">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c r="P2308" s="14" t="s">
        <v>2522</v>
      </c>
    </row>
    <row r="2309" spans="1:16">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c r="P2309" s="14" t="s">
        <v>2523</v>
      </c>
    </row>
    <row r="2310" spans="1:16">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c r="P2310" s="14" t="s">
        <v>2522</v>
      </c>
    </row>
    <row r="2311" spans="1:16">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c r="P2311" s="14" t="s">
        <v>2521</v>
      </c>
    </row>
    <row r="2312" spans="1:16">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c r="P2312" s="14" t="s">
        <v>2523</v>
      </c>
    </row>
    <row r="2313" spans="1:16">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c r="P2313" s="14" t="s">
        <v>2521</v>
      </c>
    </row>
    <row r="2314" spans="1:16">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c r="P2314" s="14" t="s">
        <v>2524</v>
      </c>
    </row>
    <row r="2315" spans="1:16">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c r="P2315" s="14" t="s">
        <v>2521</v>
      </c>
    </row>
    <row r="2316" spans="1:16">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c r="P2316" s="14" t="s">
        <v>2524</v>
      </c>
    </row>
    <row r="2317" spans="1:16">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c r="P2317" s="14" t="s">
        <v>2522</v>
      </c>
    </row>
    <row r="2318" spans="1:16">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c r="P2318" s="14" t="s">
        <v>2523</v>
      </c>
    </row>
    <row r="2319" spans="1:16">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c r="P2319" s="14" t="s">
        <v>2522</v>
      </c>
    </row>
    <row r="2320" spans="1:16">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c r="P2320" s="14" t="s">
        <v>2521</v>
      </c>
    </row>
    <row r="2321" spans="1:16">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c r="P2321" s="14" t="s">
        <v>2523</v>
      </c>
    </row>
    <row r="2322" spans="1:16">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c r="P2322" s="14" t="s">
        <v>2521</v>
      </c>
    </row>
    <row r="2323" spans="1:16">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c r="P2323" s="14" t="s">
        <v>2524</v>
      </c>
    </row>
    <row r="2324" spans="1:16">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c r="P2324" s="14" t="s">
        <v>2521</v>
      </c>
    </row>
    <row r="2325" spans="1:16">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c r="P2325" s="14" t="s">
        <v>2524</v>
      </c>
    </row>
    <row r="2326" spans="1:16">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c r="P2326" s="14" t="s">
        <v>2522</v>
      </c>
    </row>
    <row r="2327" spans="1:16">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c r="P2327" s="14" t="s">
        <v>2523</v>
      </c>
    </row>
    <row r="2328" spans="1:16">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c r="P2328" s="14" t="s">
        <v>2522</v>
      </c>
    </row>
    <row r="2329" spans="1:16">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c r="P2329" s="14" t="s">
        <v>2521</v>
      </c>
    </row>
    <row r="2330" spans="1:16">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c r="P2330" s="14" t="s">
        <v>2523</v>
      </c>
    </row>
    <row r="2331" spans="1:16">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c r="P2331" s="14" t="s">
        <v>2521</v>
      </c>
    </row>
    <row r="2332" spans="1:16">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c r="P2332" s="14" t="s">
        <v>2524</v>
      </c>
    </row>
    <row r="2333" spans="1:16">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c r="P2333" s="14" t="s">
        <v>2521</v>
      </c>
    </row>
    <row r="2334" spans="1:16">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c r="P2334" s="14" t="s">
        <v>2524</v>
      </c>
    </row>
    <row r="2335" spans="1:16">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c r="P2335" s="14" t="s">
        <v>2522</v>
      </c>
    </row>
    <row r="2336" spans="1:16">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c r="P2336" s="14" t="s">
        <v>2523</v>
      </c>
    </row>
    <row r="2337" spans="1:16">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c r="P2337" s="14" t="s">
        <v>2522</v>
      </c>
    </row>
    <row r="2338" spans="1:16">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c r="P2338" s="14" t="s">
        <v>2521</v>
      </c>
    </row>
    <row r="2339" spans="1:16">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c r="P2339" s="14" t="s">
        <v>2523</v>
      </c>
    </row>
    <row r="2340" spans="1:16">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c r="P2340" s="14" t="s">
        <v>2521</v>
      </c>
    </row>
    <row r="2341" spans="1:16">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c r="P2341" s="14" t="s">
        <v>2524</v>
      </c>
    </row>
    <row r="2342" spans="1:16">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c r="P2342" s="14" t="s">
        <v>2521</v>
      </c>
    </row>
    <row r="2343" spans="1:16">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c r="P2343" s="14" t="s">
        <v>2524</v>
      </c>
    </row>
    <row r="2344" spans="1:16">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c r="P2344" s="14" t="s">
        <v>2522</v>
      </c>
    </row>
    <row r="2345" spans="1:16">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c r="P2345" s="14" t="s">
        <v>2523</v>
      </c>
    </row>
    <row r="2346" spans="1:16">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c r="P2346" s="14" t="s">
        <v>2522</v>
      </c>
    </row>
    <row r="2347" spans="1:16">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c r="P2347" s="14" t="s">
        <v>2521</v>
      </c>
    </row>
    <row r="2348" spans="1:16">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c r="P2348" s="14" t="s">
        <v>2523</v>
      </c>
    </row>
    <row r="2349" spans="1:16">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c r="P2349" s="14" t="s">
        <v>2521</v>
      </c>
    </row>
    <row r="2350" spans="1:16">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c r="P2350" s="14" t="s">
        <v>2524</v>
      </c>
    </row>
    <row r="2351" spans="1:16">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c r="P2351" s="14" t="s">
        <v>2521</v>
      </c>
    </row>
    <row r="2352" spans="1:16">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c r="P2352" s="14" t="s">
        <v>2524</v>
      </c>
    </row>
    <row r="2353" spans="1:16">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c r="P2353" s="14" t="s">
        <v>2522</v>
      </c>
    </row>
    <row r="2354" spans="1:16">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c r="P2354" s="14" t="s">
        <v>2523</v>
      </c>
    </row>
    <row r="2355" spans="1:16">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c r="P2355" s="14" t="s">
        <v>2522</v>
      </c>
    </row>
    <row r="2356" spans="1:16">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c r="P2356" s="14" t="s">
        <v>2521</v>
      </c>
    </row>
    <row r="2357" spans="1:16">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c r="P2357" s="14" t="s">
        <v>2523</v>
      </c>
    </row>
    <row r="2358" spans="1:16">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c r="P2358" s="14" t="s">
        <v>2521</v>
      </c>
    </row>
    <row r="2359" spans="1:16">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c r="P2359" s="14" t="s">
        <v>2524</v>
      </c>
    </row>
    <row r="2360" spans="1:16">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c r="P2360" s="14" t="s">
        <v>2521</v>
      </c>
    </row>
    <row r="2361" spans="1:16">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c r="P2361" s="14" t="s">
        <v>2524</v>
      </c>
    </row>
    <row r="2362" spans="1:16">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c r="P2362" s="14" t="s">
        <v>2522</v>
      </c>
    </row>
    <row r="2363" spans="1:16">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c r="P2363" s="14" t="s">
        <v>2523</v>
      </c>
    </row>
    <row r="2364" spans="1:16">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c r="P2364" s="14" t="s">
        <v>2522</v>
      </c>
    </row>
    <row r="2365" spans="1:16">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c r="P2365" s="14" t="s">
        <v>2521</v>
      </c>
    </row>
    <row r="2366" spans="1:16">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c r="P2366" s="14" t="s">
        <v>2523</v>
      </c>
    </row>
    <row r="2367" spans="1:16">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c r="P2367" s="14" t="s">
        <v>2521</v>
      </c>
    </row>
    <row r="2368" spans="1:16">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c r="P2368" s="14" t="s">
        <v>2524</v>
      </c>
    </row>
    <row r="2369" spans="1:16">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c r="P2369" s="14" t="s">
        <v>2521</v>
      </c>
    </row>
    <row r="2370" spans="1:16">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c r="P2370" s="14" t="s">
        <v>2524</v>
      </c>
    </row>
    <row r="2371" spans="1:16">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c r="P2371" s="14" t="s">
        <v>2522</v>
      </c>
    </row>
    <row r="2372" spans="1:16">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c r="P2372" s="14" t="s">
        <v>2523</v>
      </c>
    </row>
    <row r="2373" spans="1:16">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c r="P2373" s="14" t="s">
        <v>2522</v>
      </c>
    </row>
    <row r="2374" spans="1:16">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c r="P2374" s="14" t="s">
        <v>2521</v>
      </c>
    </row>
    <row r="2375" spans="1:16">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c r="P2375" s="14" t="s">
        <v>2523</v>
      </c>
    </row>
    <row r="2376" spans="1:16">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c r="P2376" s="14" t="s">
        <v>2521</v>
      </c>
    </row>
    <row r="2377" spans="1:16">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c r="P2377" s="14" t="s">
        <v>2524</v>
      </c>
    </row>
    <row r="2378" spans="1:16">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c r="P2378" s="14" t="s">
        <v>2521</v>
      </c>
    </row>
    <row r="2379" spans="1:16">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c r="P2379" s="14" t="s">
        <v>2524</v>
      </c>
    </row>
    <row r="2380" spans="1:16">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c r="P2380" s="14" t="s">
        <v>2522</v>
      </c>
    </row>
    <row r="2381" spans="1:16">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c r="P2381" s="14" t="s">
        <v>2523</v>
      </c>
    </row>
    <row r="2382" spans="1:16">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c r="P2382" s="14" t="s">
        <v>2522</v>
      </c>
    </row>
    <row r="2383" spans="1:16">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c r="P2383" s="14" t="s">
        <v>2521</v>
      </c>
    </row>
    <row r="2384" spans="1:16">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c r="P2384" s="14" t="s">
        <v>2523</v>
      </c>
    </row>
    <row r="2385" spans="1:16">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c r="P2385" s="14" t="s">
        <v>2521</v>
      </c>
    </row>
    <row r="2386" spans="1:16">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c r="P2386" s="14" t="s">
        <v>2524</v>
      </c>
    </row>
    <row r="2387" spans="1:16">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c r="P2387" s="14" t="s">
        <v>2521</v>
      </c>
    </row>
    <row r="2388" spans="1:16">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c r="P2388" s="14" t="s">
        <v>2524</v>
      </c>
    </row>
    <row r="2389" spans="1:16">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c r="P2389" s="14" t="s">
        <v>2522</v>
      </c>
    </row>
    <row r="2390" spans="1:16">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c r="P2390" s="14" t="s">
        <v>2523</v>
      </c>
    </row>
    <row r="2391" spans="1:16">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c r="P2391" s="14" t="s">
        <v>2522</v>
      </c>
    </row>
    <row r="2392" spans="1:16">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c r="P2392" s="14" t="s">
        <v>2521</v>
      </c>
    </row>
    <row r="2393" spans="1:16">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c r="P2393" s="14" t="s">
        <v>2523</v>
      </c>
    </row>
    <row r="2394" spans="1:16">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c r="P2394" s="14" t="s">
        <v>2521</v>
      </c>
    </row>
    <row r="2395" spans="1:16">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c r="P2395" s="14" t="s">
        <v>2524</v>
      </c>
    </row>
    <row r="2396" spans="1:16">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c r="P2396" s="14" t="s">
        <v>2521</v>
      </c>
    </row>
    <row r="2397" spans="1:16">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c r="P2397" s="14" t="s">
        <v>2524</v>
      </c>
    </row>
    <row r="2398" spans="1:16">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c r="P2398" s="14" t="s">
        <v>2522</v>
      </c>
    </row>
    <row r="2399" spans="1:16">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c r="P2399" s="14" t="s">
        <v>2523</v>
      </c>
    </row>
    <row r="2400" spans="1:16">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c r="P2400" s="14" t="s">
        <v>2522</v>
      </c>
    </row>
    <row r="2401" spans="1:16">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c r="P2401" s="14" t="s">
        <v>2521</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695D2-8C27-4E39-B499-29FE877DDC3F}">
  <dimension ref="B4:C5"/>
  <sheetViews>
    <sheetView showGridLines="0" zoomScale="81" zoomScaleNormal="81" workbookViewId="0">
      <selection activeCell="W17" sqref="W17"/>
    </sheetView>
  </sheetViews>
  <sheetFormatPr defaultRowHeight="14.25"/>
  <sheetData>
    <row r="4" spans="2:3">
      <c r="B4" t="s">
        <v>2527</v>
      </c>
    </row>
    <row r="5" spans="2:3">
      <c r="C5" t="s">
        <v>2528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2651-B073-4136-BE23-C2ACD7B20C34}">
  <dimension ref="A3:J141"/>
  <sheetViews>
    <sheetView tabSelected="1" workbookViewId="0">
      <selection activeCell="N139" sqref="N139"/>
    </sheetView>
  </sheetViews>
  <sheetFormatPr defaultRowHeight="14.25"/>
  <cols>
    <col min="1" max="2" width="13.125" bestFit="1" customWidth="1"/>
    <col min="3" max="3" width="19.625" bestFit="1" customWidth="1"/>
    <col min="4" max="4" width="14.25" bestFit="1" customWidth="1"/>
    <col min="6" max="7" width="13.125" bestFit="1" customWidth="1"/>
    <col min="8" max="8" width="21.375" bestFit="1" customWidth="1"/>
    <col min="9" max="9" width="14.25" bestFit="1" customWidth="1"/>
  </cols>
  <sheetData>
    <row r="3" spans="1:2">
      <c r="A3" s="12" t="s">
        <v>2509</v>
      </c>
      <c r="B3" t="s">
        <v>2515</v>
      </c>
    </row>
    <row r="4" spans="1:2">
      <c r="A4" s="13" t="s">
        <v>2511</v>
      </c>
      <c r="B4" s="14">
        <v>71525.599999999962</v>
      </c>
    </row>
    <row r="5" spans="1:2">
      <c r="A5" s="13" t="s">
        <v>2512</v>
      </c>
      <c r="B5" s="14">
        <v>78704.79999999993</v>
      </c>
    </row>
    <row r="6" spans="1:2">
      <c r="A6" s="13" t="s">
        <v>2513</v>
      </c>
      <c r="B6" s="14">
        <v>90676.200000000012</v>
      </c>
    </row>
    <row r="7" spans="1:2">
      <c r="A7" s="13" t="s">
        <v>2510</v>
      </c>
      <c r="B7" s="14">
        <v>240906.59999999992</v>
      </c>
    </row>
    <row r="20" spans="2:3">
      <c r="B20" s="12" t="s">
        <v>2509</v>
      </c>
      <c r="C20" t="s">
        <v>2516</v>
      </c>
    </row>
    <row r="21" spans="2:3">
      <c r="B21" s="13" t="s">
        <v>54</v>
      </c>
      <c r="C21" s="14">
        <v>807</v>
      </c>
    </row>
    <row r="22" spans="2:3">
      <c r="B22" s="13" t="s">
        <v>32</v>
      </c>
      <c r="C22" s="14">
        <v>647</v>
      </c>
    </row>
    <row r="23" spans="2:3">
      <c r="B23" s="13" t="s">
        <v>42</v>
      </c>
      <c r="C23" s="14">
        <v>606</v>
      </c>
    </row>
    <row r="24" spans="2:3">
      <c r="B24" s="13" t="s">
        <v>39</v>
      </c>
      <c r="C24" s="14">
        <v>1546</v>
      </c>
    </row>
    <row r="25" spans="2:3">
      <c r="B25" s="13" t="s">
        <v>37</v>
      </c>
      <c r="C25" s="14">
        <v>603</v>
      </c>
    </row>
    <row r="26" spans="2:3">
      <c r="B26" s="13" t="s">
        <v>16</v>
      </c>
      <c r="C26" s="14">
        <v>745</v>
      </c>
    </row>
    <row r="27" spans="2:3">
      <c r="B27" s="13" t="s">
        <v>26</v>
      </c>
      <c r="C27" s="14">
        <v>1186</v>
      </c>
    </row>
    <row r="28" spans="2:3">
      <c r="B28" s="13" t="s">
        <v>46</v>
      </c>
      <c r="C28" s="14">
        <v>700</v>
      </c>
    </row>
    <row r="29" spans="2:3">
      <c r="B29" s="13" t="s">
        <v>22</v>
      </c>
      <c r="C29" s="14">
        <v>912</v>
      </c>
    </row>
    <row r="30" spans="2:3">
      <c r="B30" s="13" t="s">
        <v>44</v>
      </c>
      <c r="C30" s="14">
        <v>1645</v>
      </c>
    </row>
    <row r="31" spans="2:3">
      <c r="B31" s="13" t="s">
        <v>2510</v>
      </c>
      <c r="C31" s="14">
        <v>9397</v>
      </c>
    </row>
    <row r="36" spans="2:3">
      <c r="B36" s="12" t="s">
        <v>2509</v>
      </c>
      <c r="C36" t="s">
        <v>2519</v>
      </c>
    </row>
    <row r="37" spans="2:3">
      <c r="B37" s="13" t="s">
        <v>2517</v>
      </c>
      <c r="C37" s="14">
        <v>6272</v>
      </c>
    </row>
    <row r="38" spans="2:3">
      <c r="B38" s="13" t="s">
        <v>2537</v>
      </c>
      <c r="C38" s="14">
        <v>4673</v>
      </c>
    </row>
    <row r="39" spans="2:3">
      <c r="B39" s="13" t="s">
        <v>2538</v>
      </c>
      <c r="C39" s="14">
        <v>317</v>
      </c>
    </row>
    <row r="40" spans="2:3">
      <c r="B40" s="13" t="s">
        <v>2539</v>
      </c>
      <c r="C40" s="14">
        <v>735</v>
      </c>
    </row>
    <row r="41" spans="2:3">
      <c r="B41" s="13" t="s">
        <v>2510</v>
      </c>
      <c r="C41" s="14">
        <v>11997</v>
      </c>
    </row>
    <row r="48" spans="2:3">
      <c r="B48" s="12" t="s">
        <v>2509</v>
      </c>
      <c r="C48" t="s">
        <v>2518</v>
      </c>
    </row>
    <row r="49" spans="2:10">
      <c r="B49" s="13" t="s">
        <v>18</v>
      </c>
      <c r="C49" s="14">
        <v>4220</v>
      </c>
    </row>
    <row r="50" spans="2:10">
      <c r="B50" s="13" t="s">
        <v>51</v>
      </c>
      <c r="C50" s="14">
        <v>1415</v>
      </c>
    </row>
    <row r="51" spans="2:10">
      <c r="B51" s="13" t="s">
        <v>70</v>
      </c>
      <c r="C51" s="14">
        <v>1388</v>
      </c>
    </row>
    <row r="52" spans="2:10">
      <c r="B52" s="13" t="s">
        <v>40</v>
      </c>
      <c r="C52" s="14">
        <v>2308</v>
      </c>
    </row>
    <row r="53" spans="2:10">
      <c r="B53" s="13" t="s">
        <v>35</v>
      </c>
      <c r="C53" s="14">
        <v>2666</v>
      </c>
    </row>
    <row r="54" spans="2:10">
      <c r="B54" s="13" t="s">
        <v>2510</v>
      </c>
      <c r="C54" s="14">
        <v>11997</v>
      </c>
    </row>
    <row r="60" spans="2:10">
      <c r="B60" s="3"/>
      <c r="C60" s="4"/>
      <c r="D60" s="5"/>
      <c r="E60" s="3"/>
      <c r="F60" s="4"/>
      <c r="G60" s="5"/>
    </row>
    <row r="61" spans="2:10">
      <c r="B61" s="6"/>
      <c r="C61" s="7"/>
      <c r="D61" s="8"/>
      <c r="E61" s="6"/>
      <c r="F61" s="7"/>
      <c r="G61" s="8"/>
      <c r="H61" s="3"/>
      <c r="I61" s="4"/>
      <c r="J61" s="5"/>
    </row>
    <row r="62" spans="2:10">
      <c r="B62" s="6"/>
      <c r="C62" s="7"/>
      <c r="D62" s="8"/>
      <c r="E62" s="6"/>
      <c r="F62" s="7"/>
      <c r="G62" s="8"/>
      <c r="H62" s="6"/>
      <c r="I62" s="7"/>
      <c r="J62" s="8"/>
    </row>
    <row r="63" spans="2:10">
      <c r="B63" s="6"/>
      <c r="C63" s="7"/>
      <c r="D63" s="8"/>
      <c r="E63" s="6"/>
      <c r="F63" s="7"/>
      <c r="G63" s="8"/>
      <c r="H63" s="6"/>
      <c r="I63" s="7"/>
      <c r="J63" s="8"/>
    </row>
    <row r="64" spans="2:10">
      <c r="B64" s="6"/>
      <c r="C64" s="7"/>
      <c r="D64" s="8"/>
      <c r="E64" s="6"/>
      <c r="F64" s="7"/>
      <c r="G64" s="8"/>
      <c r="H64" s="6"/>
      <c r="I64" s="7"/>
      <c r="J64" s="8"/>
    </row>
    <row r="65" spans="2:10">
      <c r="B65" s="6"/>
      <c r="C65" s="7"/>
      <c r="D65" s="8"/>
      <c r="E65" s="6"/>
      <c r="F65" s="7"/>
      <c r="G65" s="8"/>
      <c r="H65" s="6"/>
      <c r="I65" s="7"/>
      <c r="J65" s="8"/>
    </row>
    <row r="66" spans="2:10">
      <c r="B66" s="6"/>
      <c r="C66" s="7"/>
      <c r="D66" s="8"/>
      <c r="E66" s="6"/>
      <c r="F66" s="7"/>
      <c r="G66" s="8"/>
      <c r="H66" s="6"/>
      <c r="I66" s="7"/>
      <c r="J66" s="8"/>
    </row>
    <row r="67" spans="2:10">
      <c r="B67" s="6"/>
      <c r="C67" s="7"/>
      <c r="D67" s="8"/>
      <c r="E67" s="6"/>
      <c r="F67" s="7"/>
      <c r="G67" s="8"/>
      <c r="H67" s="6"/>
      <c r="I67" s="7"/>
      <c r="J67" s="8"/>
    </row>
    <row r="68" spans="2:10">
      <c r="B68" s="6"/>
      <c r="C68" s="7"/>
      <c r="D68" s="8"/>
      <c r="E68" s="6"/>
      <c r="F68" s="7"/>
      <c r="G68" s="8"/>
      <c r="H68" s="6"/>
      <c r="I68" s="7"/>
      <c r="J68" s="8"/>
    </row>
    <row r="69" spans="2:10">
      <c r="B69" s="6"/>
      <c r="C69" s="7"/>
      <c r="D69" s="8"/>
      <c r="E69" s="6"/>
      <c r="F69" s="7"/>
      <c r="G69" s="8"/>
      <c r="H69" s="6"/>
      <c r="I69" s="7"/>
      <c r="J69" s="8"/>
    </row>
    <row r="70" spans="2:10">
      <c r="B70" s="6"/>
      <c r="C70" s="7"/>
      <c r="D70" s="8"/>
      <c r="E70" s="6"/>
      <c r="F70" s="7"/>
      <c r="G70" s="8"/>
      <c r="H70" s="6"/>
      <c r="I70" s="7"/>
      <c r="J70" s="8"/>
    </row>
    <row r="71" spans="2:10">
      <c r="B71" s="6"/>
      <c r="C71" s="7"/>
      <c r="D71" s="8"/>
      <c r="E71" s="6"/>
      <c r="F71" s="7"/>
      <c r="G71" s="8"/>
      <c r="H71" s="6"/>
      <c r="I71" s="7"/>
      <c r="J71" s="8"/>
    </row>
    <row r="72" spans="2:10">
      <c r="B72" s="6"/>
      <c r="C72" s="7"/>
      <c r="D72" s="8"/>
      <c r="E72" s="6"/>
      <c r="F72" s="7"/>
      <c r="G72" s="8"/>
      <c r="H72" s="6"/>
      <c r="I72" s="7"/>
      <c r="J72" s="8"/>
    </row>
    <row r="73" spans="2:10">
      <c r="B73" s="6"/>
      <c r="C73" s="7"/>
      <c r="D73" s="8"/>
      <c r="E73" s="6"/>
      <c r="F73" s="7"/>
      <c r="G73" s="8"/>
      <c r="H73" s="6"/>
      <c r="I73" s="7"/>
      <c r="J73" s="8"/>
    </row>
    <row r="74" spans="2:10">
      <c r="B74" s="6"/>
      <c r="C74" s="7"/>
      <c r="D74" s="8"/>
      <c r="E74" s="6"/>
      <c r="F74" s="7"/>
      <c r="G74" s="8"/>
      <c r="H74" s="6"/>
      <c r="I74" s="7"/>
      <c r="J74" s="8"/>
    </row>
    <row r="75" spans="2:10">
      <c r="B75" s="6"/>
      <c r="C75" s="7"/>
      <c r="D75" s="8"/>
      <c r="E75" s="6"/>
      <c r="F75" s="7"/>
      <c r="G75" s="8"/>
      <c r="H75" s="6"/>
      <c r="I75" s="7"/>
      <c r="J75" s="8"/>
    </row>
    <row r="76" spans="2:10">
      <c r="B76" s="6"/>
      <c r="C76" s="7"/>
      <c r="D76" s="8"/>
      <c r="E76" s="6"/>
      <c r="F76" s="7"/>
      <c r="G76" s="8"/>
      <c r="H76" s="6"/>
      <c r="I76" s="7"/>
      <c r="J76" s="8"/>
    </row>
    <row r="77" spans="2:10">
      <c r="B77" s="9"/>
      <c r="C77" s="10"/>
      <c r="D77" s="11"/>
      <c r="E77" s="9"/>
      <c r="F77" s="10"/>
      <c r="G77" s="11"/>
      <c r="H77" s="6"/>
      <c r="I77" s="7"/>
      <c r="J77" s="8"/>
    </row>
    <row r="78" spans="2:10">
      <c r="H78" s="9"/>
      <c r="I78" s="10"/>
      <c r="J78" s="11"/>
    </row>
    <row r="79" spans="2:10">
      <c r="C79" s="3"/>
      <c r="D79" s="4"/>
      <c r="E79" s="5"/>
    </row>
    <row r="80" spans="2:10">
      <c r="C80" s="6"/>
      <c r="D80" s="7"/>
      <c r="E80" s="8"/>
      <c r="G80" s="12" t="s">
        <v>2509</v>
      </c>
      <c r="H80" t="s">
        <v>2526</v>
      </c>
    </row>
    <row r="81" spans="3:8">
      <c r="C81" s="6"/>
      <c r="D81" s="7"/>
      <c r="E81" s="8"/>
      <c r="G81" s="13" t="s">
        <v>2511</v>
      </c>
      <c r="H81" s="14">
        <v>600</v>
      </c>
    </row>
    <row r="82" spans="3:8">
      <c r="C82" s="6"/>
      <c r="D82" s="7"/>
      <c r="E82" s="8"/>
      <c r="G82" s="13" t="s">
        <v>2512</v>
      </c>
      <c r="H82" s="14">
        <v>820</v>
      </c>
    </row>
    <row r="83" spans="3:8">
      <c r="C83" s="6"/>
      <c r="D83" s="7"/>
      <c r="E83" s="8"/>
      <c r="G83" s="13" t="s">
        <v>2513</v>
      </c>
      <c r="H83" s="14">
        <v>752</v>
      </c>
    </row>
    <row r="84" spans="3:8">
      <c r="C84" s="6"/>
      <c r="D84" s="7"/>
      <c r="E84" s="8"/>
      <c r="G84" s="13" t="s">
        <v>2510</v>
      </c>
      <c r="H84" s="14">
        <v>2172</v>
      </c>
    </row>
    <row r="85" spans="3:8">
      <c r="C85" s="6"/>
      <c r="D85" s="7"/>
      <c r="E85" s="8"/>
    </row>
    <row r="86" spans="3:8">
      <c r="C86" s="6"/>
      <c r="D86" s="7"/>
      <c r="E86" s="8"/>
    </row>
    <row r="87" spans="3:8">
      <c r="C87" s="6"/>
      <c r="D87" s="7"/>
      <c r="E87" s="8"/>
    </row>
    <row r="88" spans="3:8">
      <c r="C88" s="6"/>
      <c r="D88" s="7"/>
      <c r="E88" s="8"/>
    </row>
    <row r="89" spans="3:8">
      <c r="C89" s="6"/>
      <c r="D89" s="7"/>
      <c r="E89" s="8"/>
    </row>
    <row r="90" spans="3:8">
      <c r="C90" s="6"/>
      <c r="D90" s="7"/>
      <c r="E90" s="8"/>
    </row>
    <row r="91" spans="3:8">
      <c r="C91" s="6"/>
      <c r="D91" s="7"/>
      <c r="E91" s="8"/>
    </row>
    <row r="92" spans="3:8">
      <c r="C92" s="6"/>
      <c r="D92" s="7"/>
      <c r="E92" s="8"/>
    </row>
    <row r="93" spans="3:8">
      <c r="C93" s="6"/>
      <c r="D93" s="7"/>
      <c r="E93" s="8"/>
    </row>
    <row r="94" spans="3:8">
      <c r="C94" s="6"/>
      <c r="D94" s="7"/>
      <c r="E94" s="8"/>
    </row>
    <row r="95" spans="3:8">
      <c r="C95" s="6"/>
      <c r="D95" s="7"/>
      <c r="E95" s="8"/>
    </row>
    <row r="96" spans="3:8">
      <c r="C96" s="9"/>
      <c r="D96" s="10"/>
      <c r="E96" s="11"/>
    </row>
    <row r="100" spans="3:6">
      <c r="C100" s="12" t="s">
        <v>2509</v>
      </c>
      <c r="D100" s="12" t="s">
        <v>2525</v>
      </c>
    </row>
    <row r="101" spans="3:6">
      <c r="C101" s="13" t="s">
        <v>2524</v>
      </c>
      <c r="D101" s="14">
        <v>2676</v>
      </c>
    </row>
    <row r="102" spans="3:6">
      <c r="C102" s="13" t="s">
        <v>2521</v>
      </c>
      <c r="D102" s="14">
        <v>3968</v>
      </c>
    </row>
    <row r="103" spans="3:6">
      <c r="C103" s="13" t="s">
        <v>2522</v>
      </c>
      <c r="D103" s="14">
        <v>2807</v>
      </c>
    </row>
    <row r="104" spans="3:6">
      <c r="C104" s="13" t="s">
        <v>2523</v>
      </c>
      <c r="D104" s="14">
        <v>2546</v>
      </c>
    </row>
    <row r="105" spans="3:6">
      <c r="C105" s="13" t="s">
        <v>2510</v>
      </c>
      <c r="D105" s="14">
        <v>11997</v>
      </c>
    </row>
    <row r="109" spans="3:6">
      <c r="F109" s="12" t="s">
        <v>2509</v>
      </c>
    </row>
    <row r="110" spans="3:6">
      <c r="F110" s="13" t="s">
        <v>2507</v>
      </c>
    </row>
    <row r="111" spans="3:6">
      <c r="F111" s="13" t="s">
        <v>2505</v>
      </c>
    </row>
    <row r="112" spans="3:6">
      <c r="F112" s="13" t="s">
        <v>2506</v>
      </c>
    </row>
    <row r="113" spans="3:6">
      <c r="F113" s="13" t="s">
        <v>2508</v>
      </c>
    </row>
    <row r="114" spans="3:6">
      <c r="F114" s="13" t="s">
        <v>2535</v>
      </c>
    </row>
    <row r="115" spans="3:6">
      <c r="F115" s="13" t="s">
        <v>2510</v>
      </c>
    </row>
    <row r="116" spans="3:6">
      <c r="C116" s="12" t="s">
        <v>2509</v>
      </c>
      <c r="D116" t="s">
        <v>2514</v>
      </c>
    </row>
    <row r="117" spans="3:6">
      <c r="C117" s="13" t="s">
        <v>54</v>
      </c>
      <c r="D117" s="14">
        <v>11586.300000000003</v>
      </c>
    </row>
    <row r="118" spans="3:6">
      <c r="C118" s="13" t="s">
        <v>123</v>
      </c>
      <c r="D118" s="14">
        <v>11228.899999999998</v>
      </c>
    </row>
    <row r="119" spans="3:6">
      <c r="C119" s="13" t="s">
        <v>42</v>
      </c>
      <c r="D119" s="14">
        <v>17923.5</v>
      </c>
    </row>
    <row r="120" spans="3:6">
      <c r="C120" s="13" t="s">
        <v>39</v>
      </c>
      <c r="D120" s="14">
        <v>42448.80000000001</v>
      </c>
    </row>
    <row r="121" spans="3:6">
      <c r="C121" s="13" t="s">
        <v>146</v>
      </c>
      <c r="D121" s="14">
        <v>8705.9</v>
      </c>
    </row>
    <row r="122" spans="3:6">
      <c r="C122" s="13" t="s">
        <v>37</v>
      </c>
      <c r="D122" s="14">
        <v>13832.000000000004</v>
      </c>
    </row>
    <row r="123" spans="3:6">
      <c r="C123" s="13" t="s">
        <v>26</v>
      </c>
      <c r="D123" s="14">
        <v>42922.100000000013</v>
      </c>
    </row>
    <row r="124" spans="3:6">
      <c r="C124" s="13" t="s">
        <v>46</v>
      </c>
      <c r="D124" s="14">
        <v>8644.9</v>
      </c>
    </row>
    <row r="125" spans="3:6">
      <c r="C125" s="13" t="s">
        <v>22</v>
      </c>
      <c r="D125" s="14">
        <v>18378.100000000002</v>
      </c>
    </row>
    <row r="126" spans="3:6">
      <c r="C126" s="13" t="s">
        <v>44</v>
      </c>
      <c r="D126" s="14">
        <v>20907.900000000005</v>
      </c>
    </row>
    <row r="127" spans="3:6">
      <c r="C127" s="13" t="s">
        <v>2510</v>
      </c>
      <c r="D127" s="14">
        <v>196578.4</v>
      </c>
    </row>
    <row r="139" spans="7:8">
      <c r="G139" s="12" t="s">
        <v>2509</v>
      </c>
      <c r="H139" t="s">
        <v>2536</v>
      </c>
    </row>
    <row r="140" spans="7:8">
      <c r="G140" s="13" t="s">
        <v>23</v>
      </c>
      <c r="H140" s="14">
        <v>2172</v>
      </c>
    </row>
    <row r="141" spans="7:8">
      <c r="G141" s="13" t="s">
        <v>2510</v>
      </c>
      <c r="H141" s="14">
        <v>2172</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Dell</cp:lastModifiedBy>
  <dcterms:created xsi:type="dcterms:W3CDTF">2025-06-13T02:42:26Z</dcterms:created>
  <dcterms:modified xsi:type="dcterms:W3CDTF">2026-06-02T14:24:43Z</dcterms:modified>
</cp:coreProperties>
</file>